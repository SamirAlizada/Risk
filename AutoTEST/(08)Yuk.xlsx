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8496" tabRatio="600" firstSheet="13" activeTab="0" autoFilterDateGrouping="1"/>
  </bookViews>
  <sheets>
    <sheet name="Forma8_1" sheetId="1" state="visible" r:id="rId1"/>
    <sheet name="Forma8_2" sheetId="2" state="visible" r:id="rId2"/>
    <sheet name="Forma8_4" sheetId="3" state="visible" r:id="rId3"/>
    <sheet name="Forma8_5" sheetId="4" state="visible" r:id="rId4"/>
    <sheet name="Forma8_6" sheetId="5" state="visible" r:id="rId5"/>
    <sheet name="Forma8_3" sheetId="6" state="visible" r:id="rId6"/>
    <sheet name="Forma8_11" sheetId="7" state="visible" r:id="rId7"/>
    <sheet name="Forma8_7" sheetId="8" state="visible" r:id="rId8"/>
    <sheet name="Forma8_10" sheetId="9" state="visible" r:id="rId9"/>
    <sheet name="Forma8_8" sheetId="10" state="visible" r:id="rId10"/>
    <sheet name="Forma8_12" sheetId="11" state="visible" r:id="rId11"/>
    <sheet name="Forma8_9" sheetId="12" state="visible" r:id="rId12"/>
    <sheet name="Forma8_13" sheetId="13" state="visible" r:id="rId13"/>
    <sheet name="Forma8_14" sheetId="14" state="visible" r:id="rId14"/>
  </sheets>
  <definedNames/>
  <calcPr calcId="162913" fullCalcOnLoad="1"/>
</workbook>
</file>

<file path=xl/styles.xml><?xml version="1.0" encoding="utf-8"?>
<styleSheet xmlns="http://schemas.openxmlformats.org/spreadsheetml/2006/main">
  <numFmts count="4">
    <numFmt numFmtId="164" formatCode="dd\.mm\.yyyy"/>
    <numFmt numFmtId="165" formatCode="DD.MM.YYYY"/>
    <numFmt numFmtId="166" formatCode="#,##0.0000"/>
    <numFmt numFmtId="167" formatCode="0.0000"/>
  </numFmts>
  <fonts count="43">
    <font>
      <name val="Calibri"/>
      <charset val="186"/>
      <family val="2"/>
      <color theme="1"/>
      <sz val="11"/>
      <scheme val="minor"/>
    </font>
    <font>
      <name val="A3 Times AzLat"/>
      <charset val="204"/>
      <family val="1"/>
      <b val="1"/>
      <color indexed="8"/>
      <sz val="14"/>
    </font>
    <font>
      <name val="A3 Times AzLat"/>
      <charset val="204"/>
      <family val="1"/>
      <sz val="10"/>
    </font>
    <font>
      <name val="A3 Times AzLat"/>
      <charset val="204"/>
      <family val="1"/>
      <b val="1"/>
      <sz val="14"/>
    </font>
    <font>
      <name val="A3 Times AzLat"/>
      <charset val="204"/>
      <family val="1"/>
      <sz val="14"/>
    </font>
    <font>
      <name val="A3 Times AzLat"/>
      <charset val="204"/>
      <family val="1"/>
      <color indexed="8"/>
      <sz val="12"/>
    </font>
    <font>
      <name val="A3 Times AzLat"/>
      <charset val="204"/>
      <family val="1"/>
      <color indexed="8"/>
      <sz val="14"/>
    </font>
    <font>
      <name val="Times New Roman"/>
      <charset val="204"/>
      <family val="1"/>
      <b val="1"/>
      <sz val="14"/>
    </font>
    <font>
      <name val="A3 Times AzLat"/>
      <charset val="204"/>
      <family val="1"/>
      <b val="1"/>
      <sz val="12"/>
    </font>
    <font>
      <name val="A3 Times AzLat"/>
      <charset val="204"/>
      <family val="1"/>
      <sz val="12"/>
    </font>
    <font>
      <name val="Times New Roman"/>
      <charset val="204"/>
      <family val="1"/>
      <i val="1"/>
      <sz val="14"/>
    </font>
    <font>
      <name val="Times New Roman"/>
      <charset val="204"/>
      <family val="1"/>
      <b val="1"/>
      <sz val="12"/>
    </font>
    <font>
      <name val="A3 Times AzLat"/>
      <charset val="204"/>
      <family val="1"/>
      <b val="1"/>
      <sz val="16"/>
    </font>
    <font>
      <name val="A3 Times AzLat"/>
      <charset val="204"/>
      <family val="1"/>
      <b val="1"/>
      <sz val="10"/>
    </font>
    <font>
      <name val="A3 Times AzLat"/>
      <charset val="204"/>
      <sz val="10"/>
    </font>
    <font>
      <name val="A2 Arial AzCyr"/>
      <charset val="204"/>
      <family val="2"/>
      <sz val="10"/>
    </font>
    <font>
      <name val="Times New Roman"/>
      <charset val="204"/>
      <family val="1"/>
      <i val="1"/>
      <sz val="12"/>
    </font>
    <font>
      <name val="Arial"/>
      <charset val="204"/>
      <family val="2"/>
      <sz val="11"/>
    </font>
    <font>
      <name val="Arial"/>
      <charset val="204"/>
      <family val="2"/>
      <b val="1"/>
      <sz val="11"/>
    </font>
    <font>
      <name val="A3 Times AzLat"/>
      <charset val="204"/>
      <b val="1"/>
      <sz val="12"/>
    </font>
    <font>
      <name val="Times New Roman"/>
      <charset val="204"/>
      <family val="1"/>
      <sz val="14"/>
    </font>
    <font>
      <name val="A3 Times AzLat"/>
      <charset val="204"/>
      <sz val="12"/>
    </font>
    <font>
      <name val="Arial"/>
      <charset val="204"/>
      <family val="2"/>
      <sz val="14"/>
    </font>
    <font>
      <name val="A3 Times AzLat"/>
      <charset val="204"/>
      <family val="1"/>
      <b val="1"/>
      <i val="1"/>
      <sz val="10"/>
    </font>
    <font>
      <name val="A3 Times AzLat"/>
      <charset val="204"/>
      <family val="1"/>
      <sz val="11"/>
    </font>
    <font>
      <name val="A3 Times AzLat"/>
      <charset val="204"/>
      <family val="1"/>
      <color indexed="8"/>
      <sz val="10"/>
    </font>
    <font>
      <name val="A3 Times AzLat"/>
      <charset val="204"/>
      <family val="1"/>
      <b val="1"/>
      <color indexed="8"/>
      <sz val="12"/>
    </font>
    <font>
      <name val="A3 Times AzLat"/>
      <charset val="204"/>
      <family val="1"/>
      <b val="1"/>
      <color indexed="8"/>
      <sz val="8"/>
    </font>
    <font>
      <name val="A3 Arial AzLat"/>
      <charset val="204"/>
      <family val="2"/>
      <sz val="10"/>
    </font>
    <font>
      <name val="A3 Arial AzLat"/>
      <charset val="204"/>
      <family val="2"/>
      <b val="1"/>
      <sz val="10"/>
    </font>
    <font>
      <name val="A3 Arial AzLat"/>
      <charset val="204"/>
      <family val="2"/>
      <sz val="8"/>
    </font>
    <font>
      <name val="A3 Times AZ Lat"/>
      <sz val="12"/>
    </font>
    <font>
      <name val="A3 Times AzLat"/>
      <charset val="204"/>
      <family val="1"/>
      <b val="1"/>
      <sz val="11"/>
    </font>
    <font>
      <name val="A3 Times AzLat"/>
      <charset val="204"/>
      <family val="1"/>
      <color indexed="8"/>
      <sz val="11"/>
    </font>
    <font>
      <name val="A3 Arial AzLat"/>
      <charset val="204"/>
      <family val="2"/>
      <b val="1"/>
      <sz val="11"/>
    </font>
    <font>
      <name val="A3 Arial AzLat"/>
      <charset val="204"/>
      <family val="2"/>
      <sz val="11"/>
    </font>
    <font>
      <name val="A3 Times AZ Lat"/>
      <sz val="11"/>
    </font>
    <font>
      <name val="Palatino Linotype"/>
      <charset val="204"/>
      <family val="1"/>
      <b val="1"/>
      <color rgb="FF000000"/>
      <sz val="10"/>
    </font>
    <font>
      <name val="Palatino Linotype"/>
      <charset val="204"/>
      <family val="1"/>
      <b val="1"/>
      <color rgb="FF212529"/>
      <sz val="10"/>
    </font>
    <font>
      <name val="Palatino Linotype"/>
      <charset val="204"/>
      <family val="1"/>
      <color rgb="FF212529"/>
      <sz val="10"/>
    </font>
    <font>
      <name val="Arial"/>
      <charset val="204"/>
      <family val="2"/>
      <color rgb="FF212529"/>
      <sz val="8"/>
    </font>
    <font>
      <name val="A3 Times AZ Lat"/>
      <sz val="10"/>
    </font>
    <font>
      <name val="A3 Times AZ Lat"/>
      <b val="1"/>
      <sz val="10"/>
    </font>
  </fonts>
  <fills count="6">
    <fill>
      <patternFill/>
    </fill>
    <fill>
      <patternFill patternType="gray125"/>
    </fill>
    <fill>
      <patternFill patternType="solid">
        <fgColor indexed="22"/>
        <bgColor indexed="64"/>
      </patternFill>
    </fill>
    <fill>
      <patternFill patternType="solid">
        <fgColor rgb="FFC0C0C0"/>
        <bgColor indexed="64"/>
      </patternFill>
    </fill>
    <fill>
      <patternFill patternType="solid">
        <fgColor rgb="FFFFFFFF"/>
        <bgColor indexed="64"/>
      </patternFill>
    </fill>
    <fill>
      <patternFill patternType="solid">
        <fgColor rgb="FFFFFF00"/>
        <bgColor indexed="64"/>
      </patternFill>
    </fill>
  </fills>
  <borders count="32">
    <border>
      <left/>
      <right/>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249">
    <xf numFmtId="0" fontId="0" fillId="0" borderId="0" pivotButton="0" quotePrefix="0" xfId="0"/>
    <xf numFmtId="0" fontId="0" fillId="0" borderId="0" pivotButton="0" quotePrefix="0" xfId="0"/>
    <xf numFmtId="14" fontId="4" fillId="0" borderId="1" applyAlignment="1" pivotButton="0" quotePrefix="0" xfId="0">
      <alignment horizontal="left" vertical="center"/>
    </xf>
    <xf numFmtId="14" fontId="4" fillId="0" borderId="1" applyAlignment="1" pivotButton="0" quotePrefix="0" xfId="0">
      <alignment horizontal="center" vertical="center"/>
    </xf>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0" fillId="0" borderId="0" pivotButton="0" quotePrefix="0" xfId="0"/>
    <xf numFmtId="0" fontId="3" fillId="0"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horizontal="center" vertical="center" wrapText="1"/>
    </xf>
    <xf numFmtId="0" fontId="1" fillId="0" borderId="0" pivotButton="0" quotePrefix="0" xfId="0"/>
    <xf numFmtId="14" fontId="1" fillId="0" borderId="0" applyAlignment="1" pivotButton="0" quotePrefix="0" xfId="0">
      <alignment horizontal="right"/>
    </xf>
    <xf numFmtId="0" fontId="1" fillId="0" borderId="0" applyAlignment="1" pivotButton="0" quotePrefix="0" xfId="0">
      <alignment horizontal="center"/>
    </xf>
    <xf numFmtId="0" fontId="6" fillId="0" borderId="0" applyAlignment="1" pivotButton="0" quotePrefix="0" xfId="0">
      <alignment vertical="center"/>
    </xf>
    <xf numFmtId="0" fontId="6" fillId="0" borderId="0" applyAlignment="1" pivotButton="0" quotePrefix="0" xfId="0">
      <alignment horizontal="left"/>
    </xf>
    <xf numFmtId="0" fontId="4" fillId="0" borderId="0" pivotButton="0" quotePrefix="0" xfId="0"/>
    <xf numFmtId="0" fontId="3"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3" fillId="0" borderId="2" applyAlignment="1" pivotButton="0" quotePrefix="0" xfId="0">
      <alignment horizontal="center"/>
    </xf>
    <xf numFmtId="0" fontId="4" fillId="0" borderId="1" applyAlignment="1" pivotButton="0" quotePrefix="0" xfId="0">
      <alignment horizontal="left" vertical="center"/>
    </xf>
    <xf numFmtId="0" fontId="3" fillId="0" borderId="1" applyAlignment="1" pivotButton="0" quotePrefix="0" xfId="0">
      <alignment horizontal="center"/>
    </xf>
    <xf numFmtId="0" fontId="4" fillId="0" borderId="2" applyAlignment="1" pivotButton="0" quotePrefix="0" xfId="0">
      <alignment horizontal="center" vertical="center"/>
    </xf>
    <xf numFmtId="14" fontId="4" fillId="0" borderId="2" applyAlignment="1" pivotButton="0" quotePrefix="0" xfId="0">
      <alignment horizontal="center" vertical="center"/>
    </xf>
    <xf numFmtId="0" fontId="9" fillId="0" borderId="0" applyAlignment="1" pivotButton="0" quotePrefix="0" xfId="0">
      <alignment horizontal="justify" vertical="center"/>
    </xf>
    <xf numFmtId="0" fontId="0"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wrapText="1"/>
    </xf>
    <xf numFmtId="0" fontId="4" fillId="0" borderId="2" applyAlignment="1" pivotButton="0" quotePrefix="0" xfId="0">
      <alignment horizontal="center"/>
    </xf>
    <xf numFmtId="0" fontId="3" fillId="0" borderId="2" applyAlignment="1" pivotButton="0" quotePrefix="0" xfId="0">
      <alignment horizontal="center" vertical="center" wrapText="1"/>
    </xf>
    <xf numFmtId="0" fontId="1" fillId="0" borderId="0" applyAlignment="1" pivotButton="0" quotePrefix="0" xfId="0">
      <alignment horizontal="center" vertical="center" wrapText="1"/>
    </xf>
    <xf numFmtId="0" fontId="3" fillId="0" borderId="0" applyAlignment="1" pivotButton="0" quotePrefix="0" xfId="0">
      <alignment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2" fillId="0" borderId="0" applyAlignment="1" pivotButton="0" quotePrefix="0" xfId="0">
      <alignment horizontal="center" vertical="justify"/>
    </xf>
    <xf numFmtId="0" fontId="3" fillId="0" borderId="0" pivotButton="0" quotePrefix="0" xfId="0"/>
    <xf numFmtId="0" fontId="2" fillId="0" borderId="0" applyAlignment="1" pivotButton="0" quotePrefix="0" xfId="0">
      <alignment horizontal="center" vertical="center"/>
    </xf>
    <xf numFmtId="0" fontId="2" fillId="0" borderId="0" pivotButton="0" quotePrefix="0" xfId="0"/>
    <xf numFmtId="0" fontId="8" fillId="0" borderId="4" applyAlignment="1" pivotButton="0" quotePrefix="0" xfId="0">
      <alignment vertical="center"/>
    </xf>
    <xf numFmtId="0" fontId="8" fillId="0" borderId="5" applyAlignment="1" pivotButton="0" quotePrefix="0" xfId="0">
      <alignment vertical="center"/>
    </xf>
    <xf numFmtId="0" fontId="8" fillId="0" borderId="6" applyAlignment="1" pivotButton="0" quotePrefix="0" xfId="0">
      <alignment vertical="center"/>
    </xf>
    <xf numFmtId="0" fontId="3" fillId="0" borderId="4" pivotButton="0" quotePrefix="0" xfId="0"/>
    <xf numFmtId="0" fontId="3" fillId="0" borderId="5" pivotButton="0" quotePrefix="0" xfId="0"/>
    <xf numFmtId="0" fontId="3" fillId="0" borderId="6" pivotButton="0" quotePrefix="0" xfId="0"/>
    <xf numFmtId="0" fontId="9" fillId="0" borderId="2" applyAlignment="1" pivotButton="0" quotePrefix="0" xfId="0">
      <alignment vertical="center"/>
    </xf>
    <xf numFmtId="0" fontId="9" fillId="0" borderId="0" applyAlignment="1" pivotButton="0" quotePrefix="0" xfId="0">
      <alignment vertical="center"/>
    </xf>
    <xf numFmtId="0" fontId="4"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4" fillId="0" borderId="2" applyAlignment="1" pivotButton="0" quotePrefix="0" xfId="0">
      <alignment vertical="center"/>
    </xf>
    <xf numFmtId="0" fontId="4" fillId="0" borderId="2" applyAlignment="1" pivotButton="0" quotePrefix="0" xfId="0">
      <alignment horizontal="center" vertical="center" wrapText="1"/>
    </xf>
    <xf numFmtId="0" fontId="14" fillId="0" borderId="0" applyAlignment="1" pivotButton="0" quotePrefix="0" xfId="0">
      <alignment horizontal="center"/>
    </xf>
    <xf numFmtId="0" fontId="15" fillId="0" borderId="2" applyAlignment="1" pivotButton="0" quotePrefix="0" xfId="0">
      <alignment horizontal="left"/>
    </xf>
    <xf numFmtId="0" fontId="14"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2" fillId="0" borderId="0" applyAlignment="1" pivotButton="0" quotePrefix="0" xfId="0">
      <alignment vertical="center" wrapText="1"/>
    </xf>
    <xf numFmtId="0" fontId="11" fillId="2" borderId="2" applyAlignment="1" pivotButton="0" quotePrefix="0" xfId="0">
      <alignment horizontal="center" vertical="center" wrapText="1"/>
    </xf>
    <xf numFmtId="0" fontId="17" fillId="0" borderId="0" applyAlignment="1" pivotButton="0" quotePrefix="0" xfId="0">
      <alignment horizontal="center" vertical="center"/>
    </xf>
    <xf numFmtId="0" fontId="18" fillId="0" borderId="2" applyAlignment="1" pivotButton="0" quotePrefix="0" xfId="0">
      <alignment horizontal="center" vertical="center"/>
    </xf>
    <xf numFmtId="0" fontId="17" fillId="0" borderId="2" applyAlignment="1" pivotButton="0" quotePrefix="0" xfId="0">
      <alignment horizontal="center" vertical="center"/>
    </xf>
    <xf numFmtId="0" fontId="17" fillId="0" borderId="0" applyAlignment="1" pivotButton="0" quotePrefix="0" xfId="0">
      <alignment horizontal="center"/>
    </xf>
    <xf numFmtId="0" fontId="17" fillId="0" borderId="2" applyAlignment="1" pivotButton="0" quotePrefix="0" xfId="0">
      <alignment horizontal="left"/>
    </xf>
    <xf numFmtId="0" fontId="17" fillId="0" borderId="2" applyAlignment="1" pivotButton="0" quotePrefix="0" xfId="0">
      <alignment horizontal="center" vertical="center" wrapText="1"/>
    </xf>
    <xf numFmtId="0" fontId="14" fillId="0" borderId="2" applyAlignment="1" pivotButton="0" quotePrefix="0" xfId="0">
      <alignment horizontal="center"/>
    </xf>
    <xf numFmtId="0" fontId="17" fillId="0" borderId="2" applyAlignment="1" pivotButton="0" quotePrefix="0" xfId="0">
      <alignment horizontal="left" vertical="center" wrapText="1"/>
    </xf>
    <xf numFmtId="0" fontId="17" fillId="0" borderId="2" applyAlignment="1" pivotButton="0" quotePrefix="0" xfId="0">
      <alignment vertical="center"/>
    </xf>
    <xf numFmtId="0" fontId="19" fillId="0" borderId="2" applyAlignment="1" pivotButton="0" quotePrefix="0" xfId="0">
      <alignment horizontal="center"/>
    </xf>
    <xf numFmtId="0" fontId="9" fillId="0" borderId="3" pivotButton="0" quotePrefix="0" xfId="0"/>
    <xf numFmtId="0" fontId="9" fillId="0" borderId="3" applyAlignment="1" pivotButton="0" quotePrefix="0" xfId="0">
      <alignment horizontal="center" vertical="center" wrapText="1"/>
    </xf>
    <xf numFmtId="0" fontId="4" fillId="0" borderId="3" applyAlignment="1" pivotButton="0" quotePrefix="0" xfId="0">
      <alignment horizontal="center"/>
    </xf>
    <xf numFmtId="0" fontId="4" fillId="0" borderId="3" pivotButton="0" quotePrefix="0" xfId="0"/>
    <xf numFmtId="0" fontId="4" fillId="0" borderId="0" pivotButton="0" quotePrefix="0" xfId="0"/>
    <xf numFmtId="0" fontId="20" fillId="0" borderId="2" applyAlignment="1" pivotButton="0" quotePrefix="0" xfId="0">
      <alignment horizontal="center" vertical="center"/>
    </xf>
    <xf numFmtId="0" fontId="21" fillId="0" borderId="0" applyAlignment="1" pivotButton="0" quotePrefix="0" xfId="0">
      <alignment horizontal="center"/>
    </xf>
    <xf numFmtId="0" fontId="21" fillId="0" borderId="2"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0" fontId="22" fillId="0" borderId="0" applyAlignment="1" pivotButton="0" quotePrefix="0" xfId="0">
      <alignment horizontal="center" vertical="center"/>
    </xf>
    <xf numFmtId="0" fontId="9" fillId="0" borderId="3" applyAlignment="1" pivotButton="0" quotePrefix="0" xfId="0">
      <alignment vertical="center"/>
    </xf>
    <xf numFmtId="0" fontId="9" fillId="0" borderId="3" applyAlignment="1" pivotButton="0" quotePrefix="0" xfId="0">
      <alignment horizontal="center" vertical="center" wrapText="1"/>
    </xf>
    <xf numFmtId="0" fontId="4" fillId="0" borderId="3" applyAlignment="1" pivotButton="0" quotePrefix="0" xfId="0">
      <alignment horizontal="center" vertical="center"/>
    </xf>
    <xf numFmtId="0" fontId="4" fillId="0" borderId="3" applyAlignment="1" pivotButton="0" quotePrefix="0" xfId="0">
      <alignment vertical="center"/>
    </xf>
    <xf numFmtId="2" fontId="4" fillId="0" borderId="2" applyAlignment="1" pivotButton="0" quotePrefix="0" xfId="0">
      <alignment horizontal="center"/>
    </xf>
    <xf numFmtId="0" fontId="0" fillId="0" borderId="0" applyAlignment="1" pivotButton="0" quotePrefix="0" xfId="0">
      <alignment horizontal="center"/>
    </xf>
    <xf numFmtId="0" fontId="2" fillId="0" borderId="0" applyAlignment="1" pivotButton="0" quotePrefix="0" xfId="0">
      <alignment horizontal="center" vertical="center" wrapText="1"/>
    </xf>
    <xf numFmtId="0" fontId="3" fillId="0" borderId="0" applyAlignment="1" pivotButton="0" quotePrefix="0" xfId="0">
      <alignment horizontal="center"/>
    </xf>
    <xf numFmtId="0" fontId="5" fillId="0" borderId="0" applyAlignment="1" pivotButton="0" quotePrefix="0" xfId="0">
      <alignment horizontal="center" vertical="center"/>
    </xf>
    <xf numFmtId="0" fontId="13"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4" fillId="0" borderId="2" applyAlignment="1" pivotButton="0" quotePrefix="0" xfId="0">
      <alignment horizontal="left" vertical="center"/>
    </xf>
    <xf numFmtId="0" fontId="0" fillId="0" borderId="0" pivotButton="0" quotePrefix="0" xfId="0"/>
    <xf numFmtId="0" fontId="3" fillId="0" borderId="0" applyAlignment="1" pivotButton="0" quotePrefix="0" xfId="0">
      <alignment horizontal="center"/>
    </xf>
    <xf numFmtId="0" fontId="5" fillId="0" borderId="0" applyAlignment="1" pivotButton="0" quotePrefix="0" xfId="0">
      <alignment horizontal="center" vertical="center"/>
    </xf>
    <xf numFmtId="0" fontId="13"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3" fillId="0" borderId="0" applyAlignment="1" pivotButton="0" quotePrefix="0" xfId="0">
      <alignment horizontal="center"/>
    </xf>
    <xf numFmtId="0" fontId="0" fillId="0" borderId="3" applyAlignment="1" pivotButton="0" quotePrefix="0" xfId="0">
      <alignment vertical="center" wrapText="1"/>
    </xf>
    <xf numFmtId="0" fontId="24" fillId="0" borderId="0" applyAlignment="1" pivotButton="0" quotePrefix="0" xfId="0">
      <alignment horizontal="center" vertical="center" wrapText="1"/>
    </xf>
    <xf numFmtId="0" fontId="2" fillId="0" borderId="0" applyAlignment="1" pivotButton="0" quotePrefix="0" xfId="0">
      <alignment vertical="center"/>
    </xf>
    <xf numFmtId="0" fontId="9" fillId="0" borderId="0" applyAlignment="1" pivotButton="0" quotePrefix="0" xfId="0">
      <alignment horizontal="center" vertical="center" wrapText="1"/>
    </xf>
    <xf numFmtId="0" fontId="0" fillId="0" borderId="0" applyAlignment="1" pivotButton="0" quotePrefix="0" xfId="0">
      <alignment vertical="center"/>
    </xf>
    <xf numFmtId="0" fontId="3" fillId="0" borderId="0" pivotButton="0" quotePrefix="0" xfId="0"/>
    <xf numFmtId="0" fontId="26" fillId="0" borderId="0" pivotButton="0" quotePrefix="0" xfId="0"/>
    <xf numFmtId="0" fontId="27" fillId="0" borderId="0" pivotButton="0" quotePrefix="0" xfId="0"/>
    <xf numFmtId="0" fontId="5" fillId="0" borderId="0" applyAlignment="1" pivotButton="0" quotePrefix="0" xfId="0">
      <alignment vertical="center"/>
    </xf>
    <xf numFmtId="0" fontId="6" fillId="0" borderId="0" pivotButton="0" quotePrefix="0" xfId="0"/>
    <xf numFmtId="0" fontId="29" fillId="2" borderId="2" applyAlignment="1" pivotButton="0" quotePrefix="0" xfId="0">
      <alignment horizontal="center" vertical="center" wrapText="1"/>
    </xf>
    <xf numFmtId="0" fontId="28" fillId="0" borderId="2" applyAlignment="1" pivotButton="0" quotePrefix="0" xfId="0">
      <alignment horizontal="center" vertical="center" wrapText="1"/>
    </xf>
    <xf numFmtId="0" fontId="29" fillId="2" borderId="2" applyAlignment="1" pivotButton="0" quotePrefix="0" xfId="0">
      <alignment horizontal="left" vertical="center"/>
    </xf>
    <xf numFmtId="0" fontId="30" fillId="0" borderId="2" applyAlignment="1" pivotButton="0" quotePrefix="0" xfId="0">
      <alignment horizontal="center" vertical="center"/>
    </xf>
    <xf numFmtId="0" fontId="28" fillId="0" borderId="2" applyAlignment="1" pivotButton="0" quotePrefix="0" xfId="0">
      <alignment horizontal="center" vertical="center"/>
    </xf>
    <xf numFmtId="0" fontId="28" fillId="0" borderId="2" applyAlignment="1" pivotButton="0" quotePrefix="0" xfId="0">
      <alignment horizontal="center" vertical="center"/>
    </xf>
    <xf numFmtId="0" fontId="28" fillId="0" borderId="2" applyAlignment="1" pivotButton="0" quotePrefix="0" xfId="0">
      <alignment horizontal="center"/>
    </xf>
    <xf numFmtId="0" fontId="29" fillId="0" borderId="2" applyAlignment="1" pivotButton="0" quotePrefix="0" xfId="0">
      <alignment horizontal="center" vertical="center"/>
    </xf>
    <xf numFmtId="0" fontId="13" fillId="0" borderId="3" applyAlignment="1" pivotButton="0" quotePrefix="0" xfId="0">
      <alignment vertical="center"/>
    </xf>
    <xf numFmtId="0" fontId="0" fillId="0" borderId="3" applyAlignment="1" pivotButton="0" quotePrefix="0" xfId="0">
      <alignment vertical="center"/>
    </xf>
    <xf numFmtId="0" fontId="8" fillId="0" borderId="0" applyAlignment="1" pivotButton="0" quotePrefix="0" xfId="0">
      <alignment vertical="center"/>
    </xf>
    <xf numFmtId="0" fontId="13" fillId="0" borderId="0" applyAlignment="1" pivotButton="0" quotePrefix="0" xfId="0">
      <alignment vertical="center"/>
    </xf>
    <xf numFmtId="0" fontId="9" fillId="0" borderId="0" applyAlignment="1" pivotButton="0" quotePrefix="0" xfId="0">
      <alignment vertical="center"/>
    </xf>
    <xf numFmtId="0" fontId="28" fillId="0" borderId="0" applyAlignment="1" pivotButton="0" quotePrefix="0" xfId="0">
      <alignment horizontal="center" vertical="center"/>
    </xf>
    <xf numFmtId="0" fontId="13" fillId="0" borderId="3" applyAlignment="1" pivotButton="0" quotePrefix="0" xfId="0">
      <alignment vertical="center" wrapText="1"/>
    </xf>
    <xf numFmtId="164" fontId="31" fillId="0" borderId="2" applyAlignment="1" pivotButton="0" quotePrefix="0" xfId="0">
      <alignment horizontal="center" vertical="center"/>
    </xf>
    <xf numFmtId="0" fontId="24" fillId="0" borderId="0" applyAlignment="1" pivotButton="0" quotePrefix="0" xfId="0">
      <alignment vertical="center"/>
    </xf>
    <xf numFmtId="0" fontId="32" fillId="0" borderId="0" pivotButton="0" quotePrefix="0" xfId="0"/>
    <xf numFmtId="0" fontId="0" fillId="0" borderId="0" pivotButton="0" quotePrefix="0" xfId="0"/>
    <xf numFmtId="0" fontId="33" fillId="0" borderId="0" applyAlignment="1" pivotButton="0" quotePrefix="0" xfId="0">
      <alignment horizontal="left"/>
    </xf>
    <xf numFmtId="0" fontId="35" fillId="0" borderId="2" applyAlignment="1" pivotButton="0" quotePrefix="0" xfId="0">
      <alignment horizontal="center" vertical="center" wrapText="1"/>
    </xf>
    <xf numFmtId="164" fontId="36" fillId="0" borderId="2" applyAlignment="1" pivotButton="0" quotePrefix="0" xfId="0">
      <alignment horizontal="center" vertical="center"/>
    </xf>
    <xf numFmtId="0" fontId="35" fillId="0" borderId="2" applyAlignment="1" pivotButton="0" quotePrefix="0" xfId="0">
      <alignment horizontal="center"/>
    </xf>
    <xf numFmtId="0" fontId="32" fillId="0" borderId="3" applyAlignment="1" pivotButton="0" quotePrefix="0" xfId="0">
      <alignment vertical="center" wrapText="1"/>
    </xf>
    <xf numFmtId="0" fontId="0" fillId="0" borderId="0" applyAlignment="1" pivotButton="0" quotePrefix="0" xfId="0">
      <alignment vertical="center"/>
    </xf>
    <xf numFmtId="0" fontId="0" fillId="0" borderId="0" pivotButton="0" quotePrefix="0" xfId="0"/>
    <xf numFmtId="0" fontId="0" fillId="0" borderId="0" pivotButton="0" quotePrefix="0" xfId="0"/>
    <xf numFmtId="0" fontId="3" fillId="0" borderId="0" applyAlignment="1" pivotButton="0" quotePrefix="0" xfId="0">
      <alignment horizontal="center"/>
    </xf>
    <xf numFmtId="0" fontId="0" fillId="0" borderId="3" applyAlignment="1" pivotButton="0" quotePrefix="0" xfId="0">
      <alignment vertical="center" wrapText="1"/>
    </xf>
    <xf numFmtId="0" fontId="4" fillId="0" borderId="0" applyAlignment="1" pivotButton="0" quotePrefix="0" xfId="0">
      <alignment horizontal="center" vertical="center" wrapText="1"/>
    </xf>
    <xf numFmtId="0" fontId="29" fillId="2" borderId="2"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0" borderId="0" applyAlignment="1" pivotButton="0" quotePrefix="0" xfId="0">
      <alignment horizontal="left" vertical="center"/>
    </xf>
    <xf numFmtId="0" fontId="3" fillId="0" borderId="1" applyAlignment="1" pivotButton="0" quotePrefix="0" xfId="0">
      <alignment horizontal="center" vertical="center"/>
    </xf>
    <xf numFmtId="0" fontId="4" fillId="0" borderId="2" applyAlignment="1" pivotButton="0" quotePrefix="0" xfId="0">
      <alignment horizontal="center" vertical="center"/>
    </xf>
    <xf numFmtId="0" fontId="4" fillId="0" borderId="2" applyAlignment="1" pivotButton="0" quotePrefix="0" xfId="0">
      <alignment horizontal="left" wrapText="1"/>
    </xf>
    <xf numFmtId="0" fontId="4" fillId="0" borderId="4" applyAlignment="1" pivotButton="0" quotePrefix="0" xfId="0">
      <alignment horizontal="center"/>
    </xf>
    <xf numFmtId="0" fontId="4" fillId="0" borderId="12" applyAlignment="1" pivotButton="0" quotePrefix="0" xfId="0">
      <alignment horizontal="center" vertical="center"/>
    </xf>
    <xf numFmtId="0" fontId="4" fillId="0" borderId="12" applyAlignment="1" pivotButton="0" quotePrefix="0" xfId="0">
      <alignment horizontal="left"/>
    </xf>
    <xf numFmtId="0" fontId="4" fillId="0" borderId="12" applyAlignment="1" pivotButton="0" quotePrefix="0" xfId="0">
      <alignment horizontal="center"/>
    </xf>
    <xf numFmtId="0" fontId="3" fillId="0" borderId="0" applyAlignment="1" pivotButton="0" quotePrefix="0" xfId="0">
      <alignment horizontal="center"/>
    </xf>
    <xf numFmtId="0" fontId="5" fillId="0" borderId="0" applyAlignment="1" pivotButton="0" quotePrefix="0" xfId="0">
      <alignment horizontal="center" vertical="center"/>
    </xf>
    <xf numFmtId="0" fontId="12"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37" fillId="3" borderId="13" applyAlignment="1" pivotButton="0" quotePrefix="0" xfId="0">
      <alignment vertical="center" wrapText="1"/>
    </xf>
    <xf numFmtId="0" fontId="37" fillId="3" borderId="14" applyAlignment="1" pivotButton="0" quotePrefix="0" xfId="0">
      <alignment horizontal="center" vertical="center" wrapText="1"/>
    </xf>
    <xf numFmtId="0" fontId="38" fillId="4" borderId="15" applyAlignment="1" pivotButton="0" quotePrefix="0" xfId="0">
      <alignment horizontal="center" vertical="center"/>
    </xf>
    <xf numFmtId="0" fontId="38" fillId="4" borderId="16" applyAlignment="1" pivotButton="0" quotePrefix="0" xfId="0">
      <alignment horizontal="center" vertical="center"/>
    </xf>
    <xf numFmtId="0" fontId="39" fillId="4" borderId="13" applyAlignment="1" pivotButton="0" quotePrefix="0" xfId="0">
      <alignment horizontal="center" vertical="center"/>
    </xf>
    <xf numFmtId="0" fontId="39" fillId="4" borderId="14" applyAlignment="1" pivotButton="0" quotePrefix="0" xfId="0">
      <alignment vertical="center" wrapText="1"/>
    </xf>
    <xf numFmtId="0" fontId="39" fillId="4" borderId="17" applyAlignment="1" pivotButton="0" quotePrefix="0" xfId="0">
      <alignment horizontal="center" vertical="center"/>
    </xf>
    <xf numFmtId="3" fontId="39" fillId="5" borderId="13" applyAlignment="1" pivotButton="0" quotePrefix="0" xfId="0">
      <alignment horizontal="right" vertical="center"/>
    </xf>
    <xf numFmtId="0" fontId="39" fillId="4" borderId="18" applyAlignment="1" pivotButton="0" quotePrefix="0" xfId="0">
      <alignment horizontal="center" vertical="center"/>
    </xf>
    <xf numFmtId="0" fontId="39" fillId="4" borderId="19" applyAlignment="1" pivotButton="0" quotePrefix="0" xfId="0">
      <alignment vertical="center" wrapText="1"/>
    </xf>
    <xf numFmtId="0" fontId="39" fillId="4" borderId="20" applyAlignment="1" pivotButton="0" quotePrefix="0" xfId="0">
      <alignment horizontal="center" vertical="center"/>
    </xf>
    <xf numFmtId="3" fontId="39" fillId="4" borderId="18" applyAlignment="1" pivotButton="0" quotePrefix="0" xfId="0">
      <alignment horizontal="right" vertical="center"/>
    </xf>
    <xf numFmtId="0" fontId="39" fillId="4" borderId="19" applyAlignment="1" pivotButton="0" quotePrefix="0" xfId="0">
      <alignment horizontal="center" vertical="center"/>
    </xf>
    <xf numFmtId="3" fontId="39" fillId="4" borderId="19" applyAlignment="1" pivotButton="0" quotePrefix="0" xfId="0">
      <alignment horizontal="right" vertical="center"/>
    </xf>
    <xf numFmtId="3" fontId="38" fillId="4" borderId="19" applyAlignment="1" pivotButton="0" quotePrefix="0" xfId="0">
      <alignment horizontal="right" vertical="center"/>
    </xf>
    <xf numFmtId="0" fontId="40" fillId="4" borderId="0" applyAlignment="1" pivotButton="0" quotePrefix="0" xfId="0">
      <alignment vertical="center"/>
    </xf>
    <xf numFmtId="0" fontId="3" fillId="0" borderId="0" applyAlignment="1" pivotButton="0" quotePrefix="0" xfId="0">
      <alignment horizontal="center"/>
    </xf>
    <xf numFmtId="0" fontId="5" fillId="0" borderId="0" applyAlignment="1" pivotButton="0" quotePrefix="0" xfId="0">
      <alignment horizontal="center" vertical="center"/>
    </xf>
    <xf numFmtId="0" fontId="12" fillId="0" borderId="0" applyAlignment="1" pivotButton="0" quotePrefix="0" xfId="0">
      <alignment horizontal="center" vertical="center" wrapText="1"/>
    </xf>
    <xf numFmtId="0" fontId="12" fillId="0" borderId="0" applyAlignment="1" pivotButton="0" quotePrefix="0" xfId="0">
      <alignment vertical="center" wrapText="1"/>
    </xf>
    <xf numFmtId="0" fontId="5" fillId="0" borderId="0" applyAlignment="1" pivotButton="0" quotePrefix="0" xfId="0">
      <alignment vertical="center"/>
    </xf>
    <xf numFmtId="0" fontId="8"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3" fillId="0" borderId="0" applyAlignment="1" pivotButton="0" quotePrefix="0" xfId="0">
      <alignment horizontal="center"/>
    </xf>
    <xf numFmtId="0" fontId="5" fillId="0" borderId="0" applyAlignment="1" pivotButton="0" quotePrefix="0" xfId="0">
      <alignment horizontal="center" vertical="center"/>
    </xf>
    <xf numFmtId="0" fontId="13" fillId="0" borderId="0" applyAlignment="1" pivotButton="0" quotePrefix="0" xfId="0">
      <alignment horizontal="left" vertical="center" wrapText="1"/>
    </xf>
    <xf numFmtId="0" fontId="12" fillId="0" borderId="0" applyAlignment="1" pivotButton="0" quotePrefix="0" xfId="0">
      <alignment horizontal="center" vertical="center" wrapText="1"/>
    </xf>
    <xf numFmtId="0" fontId="13" fillId="0" borderId="3" applyAlignment="1" pivotButton="0" quotePrefix="0" xfId="0">
      <alignment horizontal="left" vertical="center" wrapText="1"/>
    </xf>
    <xf numFmtId="0" fontId="0" fillId="0" borderId="3" applyAlignment="1" pivotButton="0" quotePrefix="0" xfId="0">
      <alignment vertical="center" wrapText="1"/>
    </xf>
    <xf numFmtId="0" fontId="2" fillId="0" borderId="0" applyAlignment="1" pivotButton="0" quotePrefix="0" xfId="0">
      <alignment horizontal="center"/>
    </xf>
    <xf numFmtId="0" fontId="3" fillId="0" borderId="4" applyAlignment="1" pivotButton="0" quotePrefix="0" xfId="0">
      <alignment horizontal="center" vertical="center"/>
    </xf>
    <xf numFmtId="0" fontId="3" fillId="0" borderId="5" applyAlignment="1" pivotButton="0" quotePrefix="0" xfId="0">
      <alignment horizontal="center" vertical="center"/>
    </xf>
    <xf numFmtId="0" fontId="3" fillId="0" borderId="4" applyAlignment="1" pivotButton="0" quotePrefix="0" xfId="0">
      <alignment horizontal="center"/>
    </xf>
    <xf numFmtId="0" fontId="3" fillId="0" borderId="5"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8" fillId="0" borderId="0" applyAlignment="1" pivotButton="0" quotePrefix="0" xfId="0">
      <alignment horizontal="left" vertical="center" wrapText="1"/>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24" fillId="0" borderId="0" applyAlignment="1" pivotButton="0" quotePrefix="0" xfId="0">
      <alignment horizontal="center" vertical="center" wrapText="1"/>
    </xf>
    <xf numFmtId="0" fontId="29" fillId="2" borderId="2" applyAlignment="1" pivotButton="0" quotePrefix="0" xfId="0">
      <alignment horizontal="left" vertical="center" wrapText="1"/>
    </xf>
    <xf numFmtId="0" fontId="29" fillId="2" borderId="12" applyAlignment="1" pivotButton="0" quotePrefix="0" xfId="0">
      <alignment horizontal="left" vertical="center" wrapText="1"/>
    </xf>
    <xf numFmtId="0" fontId="29" fillId="2" borderId="1" applyAlignment="1" pivotButton="0" quotePrefix="0" xfId="0">
      <alignment horizontal="center" vertical="center" wrapText="1"/>
    </xf>
    <xf numFmtId="0" fontId="29" fillId="2" borderId="11" applyAlignment="1" pivotButton="0" quotePrefix="0" xfId="0">
      <alignment horizontal="center" vertical="center" wrapText="1"/>
    </xf>
    <xf numFmtId="0" fontId="28" fillId="0" borderId="4" applyAlignment="1" pivotButton="0" quotePrefix="0" xfId="0">
      <alignment horizontal="center" vertical="center" wrapText="1"/>
    </xf>
    <xf numFmtId="0" fontId="28" fillId="0" borderId="6" applyAlignment="1" pivotButton="0" quotePrefix="0" xfId="0">
      <alignment horizontal="center" vertical="center" wrapText="1"/>
    </xf>
    <xf numFmtId="0" fontId="4"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25" fillId="0" borderId="0" applyAlignment="1" pivotButton="0" quotePrefix="0" xfId="0">
      <alignment horizontal="center" vertical="center"/>
    </xf>
    <xf numFmtId="0" fontId="28" fillId="0" borderId="7" applyAlignment="1" pivotButton="0" quotePrefix="0" xfId="0">
      <alignment horizontal="center" vertical="center" wrapText="1"/>
    </xf>
    <xf numFmtId="0" fontId="28" fillId="0" borderId="8" applyAlignment="1" pivotButton="0" quotePrefix="0" xfId="0">
      <alignment horizontal="center" vertical="center" wrapText="1"/>
    </xf>
    <xf numFmtId="0" fontId="28" fillId="0" borderId="9" applyAlignment="1" pivotButton="0" quotePrefix="0" xfId="0">
      <alignment horizontal="center" vertical="center" wrapText="1"/>
    </xf>
    <xf numFmtId="0" fontId="28" fillId="0" borderId="10" applyAlignment="1" pivotButton="0" quotePrefix="0" xfId="0">
      <alignment horizontal="center" vertical="center" wrapText="1"/>
    </xf>
    <xf numFmtId="0" fontId="29" fillId="2" borderId="2" applyAlignment="1" pivotButton="0" quotePrefix="0" xfId="0">
      <alignment horizontal="center" vertical="center" wrapText="1"/>
    </xf>
    <xf numFmtId="0" fontId="29" fillId="2" borderId="2" applyAlignment="1" pivotButton="0" quotePrefix="0" xfId="0">
      <alignment horizontal="center" vertical="center"/>
    </xf>
    <xf numFmtId="0" fontId="29" fillId="2" borderId="4" applyAlignment="1" pivotButton="0" quotePrefix="0" xfId="0">
      <alignment horizontal="left" vertical="center" wrapText="1"/>
    </xf>
    <xf numFmtId="0" fontId="29" fillId="2" borderId="6" applyAlignment="1" pivotButton="0" quotePrefix="0" xfId="0">
      <alignment horizontal="left" vertical="center" wrapText="1"/>
    </xf>
    <xf numFmtId="0" fontId="29" fillId="2" borderId="12" applyAlignment="1" pivotButton="0" quotePrefix="0" xfId="0">
      <alignment horizontal="center" vertical="center" wrapText="1"/>
    </xf>
    <xf numFmtId="0" fontId="34" fillId="2" borderId="2" applyAlignment="1" pivotButton="0" quotePrefix="0" xfId="0">
      <alignment horizontal="center" vertical="center" wrapText="1"/>
    </xf>
    <xf numFmtId="0" fontId="8"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9" fillId="4" borderId="0" applyAlignment="1" pivotButton="0" quotePrefix="0" xfId="0">
      <alignment horizontal="left" vertical="center" wrapText="1" indent="2"/>
    </xf>
    <xf numFmtId="0" fontId="39" fillId="4" borderId="0" applyAlignment="1" pivotButton="0" quotePrefix="0" xfId="0">
      <alignment horizontal="justify" vertical="center" wrapText="1"/>
    </xf>
    <xf numFmtId="0" fontId="38" fillId="4" borderId="0" applyAlignment="1" pivotButton="0" quotePrefix="0" xfId="0">
      <alignment vertical="center" wrapText="1"/>
    </xf>
    <xf numFmtId="0" fontId="38" fillId="4" borderId="0" applyAlignment="1" pivotButton="0" quotePrefix="0" xfId="0">
      <alignment horizontal="left" vertical="center" wrapText="1" indent="2"/>
    </xf>
    <xf numFmtId="0" fontId="41" fillId="0" borderId="0" applyAlignment="1" pivotButton="0" quotePrefix="0" xfId="0">
      <alignment horizontal="center" vertical="center"/>
    </xf>
    <xf numFmtId="0" fontId="41" fillId="0" borderId="31" applyAlignment="1" pivotButton="0" quotePrefix="0" xfId="0">
      <alignment horizontal="center" vertical="center"/>
    </xf>
    <xf numFmtId="165" fontId="41" fillId="0" borderId="31" applyAlignment="1" pivotButton="0" quotePrefix="0" xfId="0">
      <alignment horizontal="center" vertical="center"/>
    </xf>
    <xf numFmtId="0" fontId="42" fillId="0" borderId="31" applyAlignment="1" pivotButton="0" quotePrefix="0" xfId="0">
      <alignment horizontal="center" vertical="center"/>
    </xf>
    <xf numFmtId="0" fontId="0" fillId="0" borderId="3" pivotButton="0" quotePrefix="0" xfId="0"/>
    <xf numFmtId="0" fontId="0" fillId="0" borderId="5" pivotButton="0" quotePrefix="0" xfId="0"/>
    <xf numFmtId="0" fontId="28" fillId="0" borderId="21" applyAlignment="1" pivotButton="0" quotePrefix="0" xfId="0">
      <alignment horizontal="center" vertical="center" wrapText="1"/>
    </xf>
    <xf numFmtId="0" fontId="0" fillId="0" borderId="8" pivotButton="0" quotePrefix="0" xfId="0"/>
    <xf numFmtId="0" fontId="0" fillId="0" borderId="29" pivotButton="0" quotePrefix="0" xfId="0"/>
    <xf numFmtId="0" fontId="0" fillId="0" borderId="30" pivotButton="0" quotePrefix="0" xfId="0"/>
    <xf numFmtId="0" fontId="0" fillId="0" borderId="9" pivotButton="0" quotePrefix="0" xfId="0"/>
    <xf numFmtId="0" fontId="0" fillId="0" borderId="10" pivotButton="0" quotePrefix="0" xfId="0"/>
    <xf numFmtId="0" fontId="0" fillId="0" borderId="26" pivotButton="0" quotePrefix="0" xfId="0"/>
    <xf numFmtId="0" fontId="0" fillId="0" borderId="6" pivotButton="0" quotePrefix="0" xfId="0"/>
    <xf numFmtId="0" fontId="0" fillId="0" borderId="11" pivotButton="0" quotePrefix="0" xfId="0"/>
    <xf numFmtId="0" fontId="29" fillId="2" borderId="21" applyAlignment="1" pivotButton="0" quotePrefix="0" xfId="0">
      <alignment horizontal="center" vertical="center" wrapText="1"/>
    </xf>
    <xf numFmtId="0" fontId="0" fillId="0" borderId="12" pivotButton="0" quotePrefix="0" xfId="0"/>
    <xf numFmtId="0" fontId="29" fillId="2" borderId="21" applyAlignment="1" pivotButton="0" quotePrefix="0" xfId="0">
      <alignment horizontal="left" vertical="center" wrapText="1"/>
    </xf>
    <xf numFmtId="165" fontId="41" fillId="0" borderId="31" applyAlignment="1" pivotButton="0" quotePrefix="0" xfId="0">
      <alignment horizontal="center" vertical="center"/>
    </xf>
    <xf numFmtId="0" fontId="42" fillId="0" borderId="31" applyAlignment="1" pivotButton="0" quotePrefix="0" xfId="0">
      <alignment horizontal="center"/>
    </xf>
    <xf numFmtId="2" fontId="4" fillId="0" borderId="21" applyAlignment="1" pivotButton="0" quotePrefix="0" xfId="0">
      <alignment horizontal="center"/>
    </xf>
    <xf numFmtId="2" fontId="41" fillId="0" borderId="31" applyAlignment="1" pivotButton="0" quotePrefix="0" xfId="0">
      <alignment horizontal="center" vertical="center"/>
    </xf>
    <xf numFmtId="2" fontId="42" fillId="0" borderId="31" applyAlignment="1" pivotButton="0" quotePrefix="0" xfId="0">
      <alignment horizontal="center" vertical="center"/>
    </xf>
    <xf numFmtId="4" fontId="42" fillId="0" borderId="21" applyAlignment="1" pivotButton="0" quotePrefix="0" xfId="0">
      <alignment horizontal="center" vertical="center"/>
    </xf>
    <xf numFmtId="4" fontId="41" fillId="0" borderId="31" applyAlignment="1" pivotButton="0" quotePrefix="0" xfId="0">
      <alignment horizontal="center" vertical="center"/>
    </xf>
    <xf numFmtId="166" fontId="41" fillId="0" borderId="31" applyAlignment="1" pivotButton="0" quotePrefix="0" xfId="0">
      <alignment horizontal="center" vertical="center"/>
    </xf>
    <xf numFmtId="4" fontId="42" fillId="0" borderId="31" applyAlignment="1" pivotButton="0" quotePrefix="0" xfId="0">
      <alignment horizontal="center" vertical="center"/>
    </xf>
    <xf numFmtId="167" fontId="41" fillId="0" borderId="31" applyAlignment="1" pivotButton="0" quotePrefix="0" xfId="0">
      <alignment horizontal="center" vertical="center"/>
    </xf>
    <xf numFmtId="166" fontId="41" fillId="0" borderId="31" applyAlignment="1" pivotButton="0" quotePrefix="0" xfId="0">
      <alignment horizontal="center" vertical="center"/>
    </xf>
    <xf numFmtId="167" fontId="41" fillId="0" borderId="3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225"/>
  <sheetViews>
    <sheetView workbookViewId="0">
      <selection activeCell="E7" sqref="E7"/>
    </sheetView>
  </sheetViews>
  <sheetFormatPr baseColWidth="8" defaultRowHeight="14.4"/>
  <cols>
    <col width="8.88671875" customWidth="1" style="132" min="1" max="1"/>
    <col width="24.77734375" customWidth="1" style="132" min="2" max="3"/>
    <col width="24.44140625" customWidth="1" style="132" min="4" max="4"/>
    <col width="24.77734375" customWidth="1" style="132" min="5" max="6"/>
    <col width="21.88671875" customWidth="1" style="132" min="7" max="7"/>
    <col width="24.33203125" customWidth="1" style="132" min="8" max="8"/>
    <col width="21.88671875" customWidth="1" style="132" min="9" max="9"/>
    <col width="8.88671875" customWidth="1" style="132" min="10" max="16384"/>
  </cols>
  <sheetData>
    <row r="1" ht="48.75" customHeight="1" s="132">
      <c r="B1" s="175" t="n"/>
      <c r="C1" s="175" t="n"/>
      <c r="D1" s="55" t="n"/>
      <c r="E1" s="174" t="inlineStr">
        <is>
          <t>«Həyat sığortası və qeyri-həyat sığortası
üzrə sığorta ehtiyatlarının formalaşdırılması
Qaydaları»na Əlavə № 3</t>
        </is>
      </c>
    </row>
    <row r="2" ht="18" customHeight="1" s="132">
      <c r="B2" s="189" t="inlineStr">
        <is>
          <t>Forma № 8-1</t>
        </is>
      </c>
      <c r="C2" s="189" t="n"/>
      <c r="D2" s="32" t="n"/>
      <c r="E2" s="200" t="n"/>
    </row>
    <row r="3" ht="18.75" customHeight="1" s="132">
      <c r="B3" s="175" t="inlineStr">
        <is>
          <t>Baza sığorta haqqı</t>
        </is>
      </c>
    </row>
    <row r="4" ht="17.4" customHeight="1" s="132">
      <c r="B4" s="176" t="n">
        <v>0</v>
      </c>
    </row>
    <row r="5" ht="15.6" customHeight="1" s="132">
      <c r="B5" s="177" t="inlineStr">
        <is>
          <t xml:space="preserve">    (sığortaçının (təkrarsığortaçının)  adı)</t>
        </is>
      </c>
    </row>
    <row r="6" ht="17.4" customHeight="1" s="132">
      <c r="B6" s="11" t="n"/>
      <c r="C6" s="11" t="n"/>
      <c r="D6" s="12" t="inlineStr">
        <is>
          <t>01.01.2026</t>
        </is>
      </c>
      <c r="E6" s="11" t="inlineStr">
        <is>
          <t xml:space="preserve"> -cı il  tarixə</t>
        </is>
      </c>
      <c r="F6" s="11" t="n"/>
    </row>
    <row r="7" ht="17.4" customHeight="1" s="132">
      <c r="B7" s="13" t="n"/>
      <c r="C7" s="13" t="n"/>
      <c r="D7" s="13" t="n"/>
      <c r="E7" s="13" t="n"/>
      <c r="F7" s="13" t="n"/>
    </row>
    <row r="8" ht="18" customHeight="1" s="132">
      <c r="B8" s="14" t="inlineStr">
        <is>
          <t>Sığortanın sinifi ____________________________</t>
        </is>
      </c>
      <c r="C8" s="219" t="inlineStr">
        <is>
          <t>(08)Yuk</t>
        </is>
      </c>
      <c r="D8" s="15" t="n"/>
      <c r="E8" s="13" t="n"/>
      <c r="F8" s="13" t="n"/>
    </row>
    <row r="9" ht="18" customHeight="1" s="132">
      <c r="B9" s="71" t="n"/>
      <c r="C9" s="71" t="n"/>
      <c r="D9" s="71" t="n"/>
      <c r="E9" s="71" t="n"/>
      <c r="F9" s="71" t="n"/>
    </row>
    <row r="10" ht="154.8" customHeight="1" s="132">
      <c r="B10" s="17" t="inlineStr">
        <is>
          <t>Sığorta müqavilələri</t>
        </is>
      </c>
      <c r="C10" s="17" t="inlineStr">
        <is>
          <t>Sığorta müqaviləsinin bağlandığı tarix</t>
        </is>
      </c>
      <c r="D10" s="17" t="inlineStr">
        <is>
          <t>Hesablanmış sığorta haqqı</t>
        </is>
      </c>
      <c r="E10" s="17" t="inlineStr">
        <is>
          <t>Komisyon muzdu (hesablanmış sığorta haqqının 15 %-dən çox olmamaqla)</t>
        </is>
      </c>
      <c r="F10" s="18" t="inlineStr">
        <is>
          <t>Baza sığorta haqqı (süt.2-süt.3)</t>
        </is>
      </c>
      <c r="G10" s="18" t="inlineStr">
        <is>
          <t>Hesablanmış sığorta haqqının katastrofik risk təminatına düşən hissəsi</t>
        </is>
      </c>
      <c r="H10" s="18" t="inlineStr">
        <is>
          <t>Katastrofik risk təminatı üzrə komisyon muzd (hesablanmış sığorta haqqının katastrofik risk təminatına düşən hissəsinin 15%-dən çox olmamaqla)</t>
        </is>
      </c>
      <c r="I10" s="18" t="inlineStr">
        <is>
          <t>Baza sığorta haqqının katastrofik risk təminatına düşən hissəsi
(VI-VII)</t>
        </is>
      </c>
    </row>
    <row r="11" ht="17.4" customHeight="1" s="132">
      <c r="A11" t="inlineStr">
        <is>
          <t>A</t>
        </is>
      </c>
      <c r="B11" s="19" t="inlineStr">
        <is>
          <t>I</t>
        </is>
      </c>
      <c r="C11" s="19" t="inlineStr">
        <is>
          <t>II</t>
        </is>
      </c>
      <c r="D11" s="19" t="inlineStr">
        <is>
          <t>III</t>
        </is>
      </c>
      <c r="E11" s="19" t="inlineStr">
        <is>
          <t>IV</t>
        </is>
      </c>
      <c r="F11" s="19" t="inlineStr">
        <is>
          <t>V</t>
        </is>
      </c>
      <c r="G11" s="19" t="inlineStr">
        <is>
          <t>VI</t>
        </is>
      </c>
      <c r="H11" s="19" t="inlineStr">
        <is>
          <t>VII</t>
        </is>
      </c>
      <c r="I11" s="19" t="inlineStr">
        <is>
          <t>VIII</t>
        </is>
      </c>
    </row>
    <row r="12" ht="28" customHeight="1" s="132">
      <c r="A12" s="220" t="inlineStr">
        <is>
          <t>A1</t>
        </is>
      </c>
      <c r="B12" s="220" t="inlineStr">
        <is>
          <t>CI2421782301</t>
        </is>
      </c>
      <c r="C12" s="237" t="n">
        <v>45587</v>
      </c>
      <c r="D12" s="220" t="n">
        <v>5185</v>
      </c>
      <c r="E12" s="220" t="n">
        <v>777.75</v>
      </c>
      <c r="F12" s="220" t="n">
        <v>4407.25</v>
      </c>
      <c r="G12" s="220" t="n">
        <v>51.85</v>
      </c>
      <c r="H12" s="220" t="n">
        <v>7.78</v>
      </c>
      <c r="I12" s="220" t="n">
        <v>44.07</v>
      </c>
    </row>
    <row r="13" ht="28" customHeight="1" s="132">
      <c r="A13" s="220" t="inlineStr">
        <is>
          <t>A2</t>
        </is>
      </c>
      <c r="B13" s="220" t="inlineStr">
        <is>
          <t>CI2522537202</t>
        </is>
      </c>
      <c r="C13" s="237" t="n">
        <v>45754</v>
      </c>
      <c r="D13" s="220" t="n">
        <v>65.34999999999999</v>
      </c>
      <c r="E13" s="220" t="n">
        <v>9.800000000000001</v>
      </c>
      <c r="F13" s="220" t="n">
        <v>55.55</v>
      </c>
      <c r="G13" s="220" t="n">
        <v>0.65</v>
      </c>
      <c r="H13" s="220" t="n">
        <v>0.1</v>
      </c>
      <c r="I13" s="220" t="n">
        <v>0.55</v>
      </c>
    </row>
    <row r="14" ht="28" customHeight="1" s="132">
      <c r="A14" s="220" t="inlineStr">
        <is>
          <t>A3</t>
        </is>
      </c>
      <c r="B14" s="220" t="inlineStr">
        <is>
          <t>CI2522553133</t>
        </is>
      </c>
      <c r="C14" s="237" t="n">
        <v>45756</v>
      </c>
      <c r="D14" s="220" t="n">
        <v>544</v>
      </c>
      <c r="E14" s="220" t="n">
        <v>81.59999999999999</v>
      </c>
      <c r="F14" s="220" t="n">
        <v>462.4</v>
      </c>
      <c r="G14" s="220" t="n">
        <v>5.44</v>
      </c>
      <c r="H14" s="220" t="n">
        <v>0.82</v>
      </c>
      <c r="I14" s="220" t="n">
        <v>4.62</v>
      </c>
    </row>
    <row r="15" ht="28" customHeight="1" s="132">
      <c r="A15" s="220" t="inlineStr">
        <is>
          <t>A4</t>
        </is>
      </c>
      <c r="B15" s="220" t="inlineStr">
        <is>
          <t>CI2522548439</t>
        </is>
      </c>
      <c r="C15" s="237" t="n">
        <v>45756</v>
      </c>
      <c r="D15" s="220" t="n">
        <v>2130.1</v>
      </c>
      <c r="E15" s="220" t="n">
        <v>319.51</v>
      </c>
      <c r="F15" s="220" t="n">
        <v>1810.59</v>
      </c>
      <c r="G15" s="220" t="n">
        <v>21.3</v>
      </c>
      <c r="H15" s="220" t="n">
        <v>3.2</v>
      </c>
      <c r="I15" s="220" t="n">
        <v>18.1</v>
      </c>
    </row>
    <row r="16" ht="28" customHeight="1" s="132">
      <c r="A16" s="220" t="inlineStr">
        <is>
          <t>A5</t>
        </is>
      </c>
      <c r="B16" s="220" t="inlineStr">
        <is>
          <t>CI2522695814</t>
        </is>
      </c>
      <c r="C16" s="237" t="n">
        <v>45779</v>
      </c>
      <c r="D16" s="220" t="n">
        <v>240.95</v>
      </c>
      <c r="E16" s="220" t="n">
        <v>36.14</v>
      </c>
      <c r="F16" s="220" t="n">
        <v>204.81</v>
      </c>
      <c r="G16" s="220" t="n">
        <v>2.41</v>
      </c>
      <c r="H16" s="220" t="n">
        <v>0.36</v>
      </c>
      <c r="I16" s="220" t="n">
        <v>2.05</v>
      </c>
    </row>
    <row r="17" ht="28" customHeight="1" s="132">
      <c r="A17" s="220" t="inlineStr">
        <is>
          <t>A6</t>
        </is>
      </c>
      <c r="B17" s="220" t="inlineStr">
        <is>
          <t>CI2522700484</t>
        </is>
      </c>
      <c r="C17" s="237" t="n">
        <v>45782</v>
      </c>
      <c r="D17" s="220" t="n">
        <v>168.86</v>
      </c>
      <c r="E17" s="220" t="n">
        <v>25.33</v>
      </c>
      <c r="F17" s="220" t="n">
        <v>143.53</v>
      </c>
      <c r="G17" s="220" t="n">
        <v>1.69</v>
      </c>
      <c r="H17" s="220" t="n">
        <v>0.25</v>
      </c>
      <c r="I17" s="220" t="n">
        <v>1.44</v>
      </c>
    </row>
    <row r="18" ht="28" customHeight="1" s="132">
      <c r="A18" s="220" t="inlineStr">
        <is>
          <t>A7</t>
        </is>
      </c>
      <c r="B18" s="220" t="inlineStr">
        <is>
          <t>CI2522715202</t>
        </is>
      </c>
      <c r="C18" s="237" t="n">
        <v>45782</v>
      </c>
      <c r="D18" s="220" t="n">
        <v>7461.3</v>
      </c>
      <c r="E18" s="220" t="n">
        <v>1119.19</v>
      </c>
      <c r="F18" s="220" t="n">
        <v>6342.11</v>
      </c>
      <c r="G18" s="220" t="n">
        <v>74.61</v>
      </c>
      <c r="H18" s="220" t="n">
        <v>11.19</v>
      </c>
      <c r="I18" s="220" t="n">
        <v>63.42</v>
      </c>
    </row>
    <row r="19" ht="28" customHeight="1" s="132">
      <c r="A19" s="220" t="inlineStr">
        <is>
          <t>A8</t>
        </is>
      </c>
      <c r="B19" s="220" t="inlineStr">
        <is>
          <t>CI2522708672</t>
        </is>
      </c>
      <c r="C19" s="237" t="n">
        <v>45782</v>
      </c>
      <c r="D19" s="220" t="n">
        <v>271.84</v>
      </c>
      <c r="E19" s="220" t="n">
        <v>40.78</v>
      </c>
      <c r="F19" s="220" t="n">
        <v>231.06</v>
      </c>
      <c r="G19" s="220" t="n">
        <v>2.72</v>
      </c>
      <c r="H19" s="220" t="n">
        <v>0.41</v>
      </c>
      <c r="I19" s="220" t="n">
        <v>2.31</v>
      </c>
    </row>
    <row r="20" ht="28" customHeight="1" s="132">
      <c r="A20" s="220" t="inlineStr">
        <is>
          <t>A9</t>
        </is>
      </c>
      <c r="B20" s="220" t="inlineStr">
        <is>
          <t>CI2522709117</t>
        </is>
      </c>
      <c r="C20" s="237" t="n">
        <v>45782</v>
      </c>
      <c r="D20" s="220" t="n">
        <v>201.1</v>
      </c>
      <c r="E20" s="220" t="n">
        <v>30.16</v>
      </c>
      <c r="F20" s="220" t="n">
        <v>170.94</v>
      </c>
      <c r="G20" s="220" t="n">
        <v>2.01</v>
      </c>
      <c r="H20" s="220" t="n">
        <v>0.3</v>
      </c>
      <c r="I20" s="220" t="n">
        <v>1.71</v>
      </c>
    </row>
    <row r="21" ht="28" customHeight="1" s="132">
      <c r="A21" s="220" t="inlineStr">
        <is>
          <t>A10</t>
        </is>
      </c>
      <c r="B21" s="220" t="inlineStr">
        <is>
          <t>CI2522719559</t>
        </is>
      </c>
      <c r="C21" s="237" t="n">
        <v>45783</v>
      </c>
      <c r="D21" s="220" t="n">
        <v>110.04</v>
      </c>
      <c r="E21" s="220" t="n">
        <v>16.51</v>
      </c>
      <c r="F21" s="220" t="n">
        <v>93.53</v>
      </c>
      <c r="G21" s="220" t="n">
        <v>1.1</v>
      </c>
      <c r="H21" s="220" t="n">
        <v>0.17</v>
      </c>
      <c r="I21" s="220" t="n">
        <v>0.93</v>
      </c>
    </row>
    <row r="22" ht="28" customHeight="1" s="132">
      <c r="A22" s="220" t="inlineStr">
        <is>
          <t>A11</t>
        </is>
      </c>
      <c r="B22" s="220" t="inlineStr">
        <is>
          <t>CI2522723089</t>
        </is>
      </c>
      <c r="C22" s="237" t="n">
        <v>45783</v>
      </c>
      <c r="D22" s="220" t="n">
        <v>1401.55</v>
      </c>
      <c r="E22" s="220" t="n">
        <v>210.23</v>
      </c>
      <c r="F22" s="220" t="n">
        <v>1191.32</v>
      </c>
      <c r="G22" s="220" t="n">
        <v>14.02</v>
      </c>
      <c r="H22" s="220" t="n">
        <v>2.1</v>
      </c>
      <c r="I22" s="220" t="n">
        <v>11.92</v>
      </c>
    </row>
    <row r="23" ht="28" customHeight="1" s="132">
      <c r="A23" s="220" t="inlineStr">
        <is>
          <t>A12</t>
        </is>
      </c>
      <c r="B23" s="220" t="inlineStr">
        <is>
          <t>CI2522741651</t>
        </is>
      </c>
      <c r="C23" s="237" t="n">
        <v>45785</v>
      </c>
      <c r="D23" s="220" t="n">
        <v>118.52</v>
      </c>
      <c r="E23" s="220" t="n">
        <v>17.78</v>
      </c>
      <c r="F23" s="220" t="n">
        <v>100.74</v>
      </c>
      <c r="G23" s="220" t="n">
        <v>1.19</v>
      </c>
      <c r="H23" s="220" t="n">
        <v>0.18</v>
      </c>
      <c r="I23" s="220" t="n">
        <v>1.01</v>
      </c>
    </row>
    <row r="24" ht="28" customHeight="1" s="132">
      <c r="A24" s="220" t="inlineStr">
        <is>
          <t>A13</t>
        </is>
      </c>
      <c r="B24" s="220" t="inlineStr">
        <is>
          <t>CI2522756333</t>
        </is>
      </c>
      <c r="C24" s="237" t="n">
        <v>45789</v>
      </c>
      <c r="D24" s="220" t="n">
        <v>1135.68</v>
      </c>
      <c r="E24" s="220" t="n">
        <v>170.35</v>
      </c>
      <c r="F24" s="220" t="n">
        <v>965.33</v>
      </c>
      <c r="G24" s="220" t="n">
        <v>11.36</v>
      </c>
      <c r="H24" s="220" t="n">
        <v>1.7</v>
      </c>
      <c r="I24" s="220" t="n">
        <v>9.66</v>
      </c>
    </row>
    <row r="25" ht="28" customHeight="1" s="132">
      <c r="A25" s="220" t="inlineStr">
        <is>
          <t>A14</t>
        </is>
      </c>
      <c r="B25" s="220" t="inlineStr">
        <is>
          <t>CI2522750499</t>
        </is>
      </c>
      <c r="C25" s="237" t="n">
        <v>45789</v>
      </c>
      <c r="D25" s="220" t="n">
        <v>952.4299999999999</v>
      </c>
      <c r="E25" s="220" t="n">
        <v>142.86</v>
      </c>
      <c r="F25" s="220" t="n">
        <v>809.5700000000001</v>
      </c>
      <c r="G25" s="220" t="n">
        <v>9.52</v>
      </c>
      <c r="H25" s="220" t="n">
        <v>1.43</v>
      </c>
      <c r="I25" s="220" t="n">
        <v>8.09</v>
      </c>
    </row>
    <row r="26" ht="28" customHeight="1" s="132">
      <c r="A26" s="220" t="inlineStr">
        <is>
          <t>A15</t>
        </is>
      </c>
      <c r="B26" s="220" t="inlineStr">
        <is>
          <t>CI2522756581</t>
        </is>
      </c>
      <c r="C26" s="237" t="n">
        <v>45789</v>
      </c>
      <c r="D26" s="220" t="n">
        <v>990.62</v>
      </c>
      <c r="E26" s="220" t="n">
        <v>148.59</v>
      </c>
      <c r="F26" s="220" t="n">
        <v>842.03</v>
      </c>
      <c r="G26" s="220" t="n">
        <v>9.91</v>
      </c>
      <c r="H26" s="220" t="n">
        <v>1.49</v>
      </c>
      <c r="I26" s="220" t="n">
        <v>8.42</v>
      </c>
    </row>
    <row r="27" ht="28" customHeight="1" s="132">
      <c r="A27" s="220" t="inlineStr">
        <is>
          <t>A16</t>
        </is>
      </c>
      <c r="B27" s="220" t="inlineStr">
        <is>
          <t>CI2522762611</t>
        </is>
      </c>
      <c r="C27" s="237" t="n">
        <v>45790</v>
      </c>
      <c r="D27" s="220" t="n">
        <v>214.12</v>
      </c>
      <c r="E27" s="220" t="n">
        <v>32.12</v>
      </c>
      <c r="F27" s="220" t="n">
        <v>182</v>
      </c>
      <c r="G27" s="220" t="n">
        <v>2.14</v>
      </c>
      <c r="H27" s="220" t="n">
        <v>0.32</v>
      </c>
      <c r="I27" s="220" t="n">
        <v>1.82</v>
      </c>
    </row>
    <row r="28" ht="28" customHeight="1" s="132">
      <c r="A28" s="220" t="inlineStr">
        <is>
          <t>A17</t>
        </is>
      </c>
      <c r="B28" s="220" t="inlineStr">
        <is>
          <t>CI2522768047</t>
        </is>
      </c>
      <c r="C28" s="237" t="n">
        <v>45790</v>
      </c>
      <c r="D28" s="220" t="n">
        <v>193.31</v>
      </c>
      <c r="E28" s="220" t="n">
        <v>29</v>
      </c>
      <c r="F28" s="220" t="n">
        <v>164.31</v>
      </c>
      <c r="G28" s="220" t="n">
        <v>1.93</v>
      </c>
      <c r="H28" s="220" t="n">
        <v>0.29</v>
      </c>
      <c r="I28" s="220" t="n">
        <v>1.64</v>
      </c>
    </row>
    <row r="29" ht="28" customHeight="1" s="132">
      <c r="A29" s="220" t="inlineStr">
        <is>
          <t>A18</t>
        </is>
      </c>
      <c r="B29" s="220" t="inlineStr">
        <is>
          <t>CI2522761384</t>
        </is>
      </c>
      <c r="C29" s="237" t="n">
        <v>45790</v>
      </c>
      <c r="D29" s="220" t="n">
        <v>804.9</v>
      </c>
      <c r="E29" s="220" t="n">
        <v>120.73</v>
      </c>
      <c r="F29" s="220" t="n">
        <v>684.17</v>
      </c>
      <c r="G29" s="220" t="n">
        <v>8.050000000000001</v>
      </c>
      <c r="H29" s="220" t="n">
        <v>1.21</v>
      </c>
      <c r="I29" s="220" t="n">
        <v>6.84</v>
      </c>
    </row>
    <row r="30" ht="28" customHeight="1" s="132">
      <c r="A30" s="220" t="inlineStr">
        <is>
          <t>A19</t>
        </is>
      </c>
      <c r="B30" s="220" t="inlineStr">
        <is>
          <t>CI2522788404</t>
        </is>
      </c>
      <c r="C30" s="237" t="n">
        <v>45793</v>
      </c>
      <c r="D30" s="220" t="n">
        <v>286.89</v>
      </c>
      <c r="E30" s="220" t="n">
        <v>43.03</v>
      </c>
      <c r="F30" s="220" t="n">
        <v>243.86</v>
      </c>
      <c r="G30" s="220" t="n">
        <v>2.87</v>
      </c>
      <c r="H30" s="220" t="n">
        <v>0.43</v>
      </c>
      <c r="I30" s="220" t="n">
        <v>2.44</v>
      </c>
    </row>
    <row r="31" ht="28" customHeight="1" s="132">
      <c r="A31" s="220" t="inlineStr">
        <is>
          <t>A20</t>
        </is>
      </c>
      <c r="B31" s="220" t="inlineStr">
        <is>
          <t>CI2522793763</t>
        </is>
      </c>
      <c r="C31" s="237" t="n">
        <v>45793</v>
      </c>
      <c r="D31" s="220" t="n">
        <v>198.9</v>
      </c>
      <c r="E31" s="220" t="n">
        <v>29.84</v>
      </c>
      <c r="F31" s="220" t="n">
        <v>169.06</v>
      </c>
      <c r="G31" s="220" t="n">
        <v>1.99</v>
      </c>
      <c r="H31" s="220" t="n">
        <v>0.3</v>
      </c>
      <c r="I31" s="220" t="n">
        <v>1.69</v>
      </c>
    </row>
    <row r="32" ht="28" customHeight="1" s="132">
      <c r="A32" s="220" t="inlineStr">
        <is>
          <t>A21</t>
        </is>
      </c>
      <c r="B32" s="220" t="inlineStr">
        <is>
          <t>CI2522787319</t>
        </is>
      </c>
      <c r="C32" s="237" t="n">
        <v>45793</v>
      </c>
      <c r="D32" s="220" t="n">
        <v>192.17</v>
      </c>
      <c r="E32" s="220" t="n">
        <v>0</v>
      </c>
      <c r="F32" s="220" t="n">
        <v>192.17</v>
      </c>
      <c r="G32" s="220" t="n">
        <v>1.92</v>
      </c>
      <c r="H32" s="220" t="n">
        <v>0</v>
      </c>
      <c r="I32" s="220" t="n">
        <v>1.92</v>
      </c>
    </row>
    <row r="33" ht="28" customHeight="1" s="132">
      <c r="A33" s="220" t="inlineStr">
        <is>
          <t>A22</t>
        </is>
      </c>
      <c r="B33" s="220" t="inlineStr">
        <is>
          <t>CI2522814217</t>
        </is>
      </c>
      <c r="C33" s="237" t="n">
        <v>45797</v>
      </c>
      <c r="D33" s="220" t="n">
        <v>1418.85</v>
      </c>
      <c r="E33" s="220" t="n">
        <v>212.83</v>
      </c>
      <c r="F33" s="220" t="n">
        <v>1206.02</v>
      </c>
      <c r="G33" s="220" t="n">
        <v>14.19</v>
      </c>
      <c r="H33" s="220" t="n">
        <v>2.13</v>
      </c>
      <c r="I33" s="220" t="n">
        <v>12.06</v>
      </c>
    </row>
    <row r="34" ht="28" customHeight="1" s="132">
      <c r="A34" s="220" t="inlineStr">
        <is>
          <t>A23</t>
        </is>
      </c>
      <c r="B34" s="220" t="inlineStr">
        <is>
          <t>CI2522814707</t>
        </is>
      </c>
      <c r="C34" s="237" t="n">
        <v>45797</v>
      </c>
      <c r="D34" s="220" t="n">
        <v>1583.3</v>
      </c>
      <c r="E34" s="220" t="n">
        <v>237.49</v>
      </c>
      <c r="F34" s="220" t="n">
        <v>1345.81</v>
      </c>
      <c r="G34" s="220" t="n">
        <v>15.83</v>
      </c>
      <c r="H34" s="220" t="n">
        <v>2.37</v>
      </c>
      <c r="I34" s="220" t="n">
        <v>13.46</v>
      </c>
    </row>
    <row r="35" ht="28" customHeight="1" s="132">
      <c r="A35" s="220" t="inlineStr">
        <is>
          <t>A24</t>
        </is>
      </c>
      <c r="B35" s="220" t="inlineStr">
        <is>
          <t>CI2522813900</t>
        </is>
      </c>
      <c r="C35" s="237" t="n">
        <v>45797</v>
      </c>
      <c r="D35" s="220" t="n">
        <v>1619.63</v>
      </c>
      <c r="E35" s="220" t="n">
        <v>242.94</v>
      </c>
      <c r="F35" s="220" t="n">
        <v>1376.69</v>
      </c>
      <c r="G35" s="220" t="n">
        <v>16.2</v>
      </c>
      <c r="H35" s="220" t="n">
        <v>2.43</v>
      </c>
      <c r="I35" s="220" t="n">
        <v>13.77</v>
      </c>
    </row>
    <row r="36" ht="28" customHeight="1" s="132">
      <c r="A36" s="220" t="inlineStr">
        <is>
          <t>A25</t>
        </is>
      </c>
      <c r="B36" s="220" t="inlineStr">
        <is>
          <t>CI2522832107</t>
        </is>
      </c>
      <c r="C36" s="237" t="n">
        <v>45799</v>
      </c>
      <c r="D36" s="220" t="n">
        <v>176.72</v>
      </c>
      <c r="E36" s="220" t="n">
        <v>26.51</v>
      </c>
      <c r="F36" s="220" t="n">
        <v>150.21</v>
      </c>
      <c r="G36" s="220" t="n">
        <v>1.77</v>
      </c>
      <c r="H36" s="220" t="n">
        <v>0.27</v>
      </c>
      <c r="I36" s="220" t="n">
        <v>1.5</v>
      </c>
    </row>
    <row r="37" ht="28" customHeight="1" s="132">
      <c r="A37" s="220" t="inlineStr">
        <is>
          <t>A26</t>
        </is>
      </c>
      <c r="B37" s="220" t="inlineStr">
        <is>
          <t>CI2522837096</t>
        </is>
      </c>
      <c r="C37" s="237" t="n">
        <v>45800</v>
      </c>
      <c r="D37" s="220" t="n">
        <v>192.42</v>
      </c>
      <c r="E37" s="220" t="n">
        <v>28.86</v>
      </c>
      <c r="F37" s="220" t="n">
        <v>163.56</v>
      </c>
      <c r="G37" s="220" t="n">
        <v>1.92</v>
      </c>
      <c r="H37" s="220" t="n">
        <v>0.29</v>
      </c>
      <c r="I37" s="220" t="n">
        <v>1.63</v>
      </c>
    </row>
    <row r="38" ht="28" customHeight="1" s="132">
      <c r="A38" s="220" t="inlineStr">
        <is>
          <t>A27</t>
        </is>
      </c>
      <c r="B38" s="220" t="inlineStr">
        <is>
          <t>CI2522833185</t>
        </is>
      </c>
      <c r="C38" s="237" t="n">
        <v>45800</v>
      </c>
      <c r="D38" s="220" t="n">
        <v>205.19</v>
      </c>
      <c r="E38" s="220" t="n">
        <v>30.78</v>
      </c>
      <c r="F38" s="220" t="n">
        <v>174.41</v>
      </c>
      <c r="G38" s="220" t="n">
        <v>2.05</v>
      </c>
      <c r="H38" s="220" t="n">
        <v>0.31</v>
      </c>
      <c r="I38" s="220" t="n">
        <v>1.74</v>
      </c>
    </row>
    <row r="39" ht="28" customHeight="1" s="132">
      <c r="A39" s="220" t="inlineStr">
        <is>
          <t>A28</t>
        </is>
      </c>
      <c r="B39" s="220" t="inlineStr">
        <is>
          <t>CI2522848582</t>
        </is>
      </c>
      <c r="C39" s="237" t="n">
        <v>45803</v>
      </c>
      <c r="D39" s="220" t="n">
        <v>847.74</v>
      </c>
      <c r="E39" s="220" t="n">
        <v>127.16</v>
      </c>
      <c r="F39" s="220" t="n">
        <v>720.58</v>
      </c>
      <c r="G39" s="220" t="n">
        <v>8.48</v>
      </c>
      <c r="H39" s="220" t="n">
        <v>1.27</v>
      </c>
      <c r="I39" s="220" t="n">
        <v>7.21</v>
      </c>
    </row>
    <row r="40" ht="28" customHeight="1" s="132">
      <c r="A40" s="220" t="inlineStr">
        <is>
          <t>A29</t>
        </is>
      </c>
      <c r="B40" s="220" t="inlineStr">
        <is>
          <t>CI2522871370</t>
        </is>
      </c>
      <c r="C40" s="237" t="n">
        <v>45806</v>
      </c>
      <c r="D40" s="220" t="n">
        <v>237.76</v>
      </c>
      <c r="E40" s="220" t="n">
        <v>35.66</v>
      </c>
      <c r="F40" s="220" t="n">
        <v>202.1</v>
      </c>
      <c r="G40" s="220" t="n">
        <v>2.38</v>
      </c>
      <c r="H40" s="220" t="n">
        <v>0.36</v>
      </c>
      <c r="I40" s="220" t="n">
        <v>2.02</v>
      </c>
    </row>
    <row r="41" ht="28" customHeight="1" s="132">
      <c r="A41" s="220" t="inlineStr">
        <is>
          <t>A30</t>
        </is>
      </c>
      <c r="B41" s="220" t="inlineStr">
        <is>
          <t>CI2522913407</t>
        </is>
      </c>
      <c r="C41" s="237" t="n">
        <v>45813</v>
      </c>
      <c r="D41" s="220" t="n">
        <v>208.13</v>
      </c>
      <c r="E41" s="220" t="n">
        <v>31.22</v>
      </c>
      <c r="F41" s="220" t="n">
        <v>176.91</v>
      </c>
      <c r="G41" s="220" t="n">
        <v>2.08</v>
      </c>
      <c r="H41" s="220" t="n">
        <v>0.31</v>
      </c>
      <c r="I41" s="220" t="n">
        <v>1.77</v>
      </c>
    </row>
    <row r="42" ht="28" customHeight="1" s="132">
      <c r="A42" s="220" t="inlineStr">
        <is>
          <t>A31</t>
        </is>
      </c>
      <c r="B42" s="220" t="inlineStr">
        <is>
          <t>CI2522913998</t>
        </is>
      </c>
      <c r="C42" s="237" t="n">
        <v>45813</v>
      </c>
      <c r="D42" s="220" t="n">
        <v>3181.14</v>
      </c>
      <c r="E42" s="220" t="n">
        <v>477.17</v>
      </c>
      <c r="F42" s="220" t="n">
        <v>2703.97</v>
      </c>
      <c r="G42" s="220" t="n">
        <v>31.81</v>
      </c>
      <c r="H42" s="220" t="n">
        <v>4.77</v>
      </c>
      <c r="I42" s="220" t="n">
        <v>27.04</v>
      </c>
    </row>
    <row r="43" ht="28" customHeight="1" s="132">
      <c r="A43" s="220" t="inlineStr">
        <is>
          <t>A32</t>
        </is>
      </c>
      <c r="B43" s="220" t="inlineStr">
        <is>
          <t>CI2522942135</t>
        </is>
      </c>
      <c r="C43" s="237" t="n">
        <v>45819</v>
      </c>
      <c r="D43" s="220" t="n">
        <v>260.42</v>
      </c>
      <c r="E43" s="220" t="n">
        <v>39.06</v>
      </c>
      <c r="F43" s="220" t="n">
        <v>221.36</v>
      </c>
      <c r="G43" s="220" t="n">
        <v>2.6</v>
      </c>
      <c r="H43" s="220" t="n">
        <v>0.39</v>
      </c>
      <c r="I43" s="220" t="n">
        <v>2.21</v>
      </c>
    </row>
    <row r="44" ht="28" customHeight="1" s="132">
      <c r="A44" s="220" t="inlineStr">
        <is>
          <t>A33</t>
        </is>
      </c>
      <c r="B44" s="220" t="inlineStr">
        <is>
          <t>CI2522945065</t>
        </is>
      </c>
      <c r="C44" s="237" t="n">
        <v>45819</v>
      </c>
      <c r="D44" s="220" t="n">
        <v>182.95</v>
      </c>
      <c r="E44" s="220" t="n">
        <v>27.44</v>
      </c>
      <c r="F44" s="220" t="n">
        <v>155.51</v>
      </c>
      <c r="G44" s="220" t="n">
        <v>1.83</v>
      </c>
      <c r="H44" s="220" t="n">
        <v>0.27</v>
      </c>
      <c r="I44" s="220" t="n">
        <v>1.56</v>
      </c>
    </row>
    <row r="45" ht="28" customHeight="1" s="132">
      <c r="A45" s="220" t="inlineStr">
        <is>
          <t>A34</t>
        </is>
      </c>
      <c r="B45" s="220" t="inlineStr">
        <is>
          <t>CI2522945536</t>
        </is>
      </c>
      <c r="C45" s="237" t="n">
        <v>45819</v>
      </c>
      <c r="D45" s="220" t="n">
        <v>545.1900000000001</v>
      </c>
      <c r="E45" s="220" t="n">
        <v>81.78</v>
      </c>
      <c r="F45" s="220" t="n">
        <v>463.41</v>
      </c>
      <c r="G45" s="220" t="n">
        <v>5.45</v>
      </c>
      <c r="H45" s="220" t="n">
        <v>0.82</v>
      </c>
      <c r="I45" s="220" t="n">
        <v>4.63</v>
      </c>
    </row>
    <row r="46" ht="28" customHeight="1" s="132">
      <c r="A46" s="220" t="inlineStr">
        <is>
          <t>A35</t>
        </is>
      </c>
      <c r="B46" s="220" t="inlineStr">
        <is>
          <t>CI2522948621</t>
        </is>
      </c>
      <c r="C46" s="237" t="n">
        <v>45819</v>
      </c>
      <c r="D46" s="220" t="n">
        <v>273.48</v>
      </c>
      <c r="E46" s="220" t="n">
        <v>41.02</v>
      </c>
      <c r="F46" s="220" t="n">
        <v>232.46</v>
      </c>
      <c r="G46" s="220" t="n">
        <v>2.73</v>
      </c>
      <c r="H46" s="220" t="n">
        <v>0.41</v>
      </c>
      <c r="I46" s="220" t="n">
        <v>2.32</v>
      </c>
    </row>
    <row r="47" ht="28" customHeight="1" s="132">
      <c r="A47" s="220" t="inlineStr">
        <is>
          <t>A36</t>
        </is>
      </c>
      <c r="B47" s="220" t="inlineStr">
        <is>
          <t>CI2522939791</t>
        </is>
      </c>
      <c r="C47" s="237" t="n">
        <v>45819</v>
      </c>
      <c r="D47" s="220" t="n">
        <v>268.8</v>
      </c>
      <c r="E47" s="220" t="n">
        <v>40.32</v>
      </c>
      <c r="F47" s="220" t="n">
        <v>228.48</v>
      </c>
      <c r="G47" s="220" t="n">
        <v>2.69</v>
      </c>
      <c r="H47" s="220" t="n">
        <v>0.4</v>
      </c>
      <c r="I47" s="220" t="n">
        <v>2.29</v>
      </c>
    </row>
    <row r="48" ht="28" customHeight="1" s="132">
      <c r="A48" s="220" t="inlineStr">
        <is>
          <t>A37</t>
        </is>
      </c>
      <c r="B48" s="220" t="inlineStr">
        <is>
          <t>CI2522945798</t>
        </is>
      </c>
      <c r="C48" s="237" t="n">
        <v>45819</v>
      </c>
      <c r="D48" s="220" t="n">
        <v>399.5</v>
      </c>
      <c r="E48" s="220" t="n">
        <v>59.92</v>
      </c>
      <c r="F48" s="220" t="n">
        <v>339.58</v>
      </c>
      <c r="G48" s="220" t="n">
        <v>4</v>
      </c>
      <c r="H48" s="220" t="n">
        <v>0.6</v>
      </c>
      <c r="I48" s="220" t="n">
        <v>3.4</v>
      </c>
    </row>
    <row r="49" ht="28" customHeight="1" s="132">
      <c r="A49" s="220" t="inlineStr">
        <is>
          <t>A38</t>
        </is>
      </c>
      <c r="B49" s="220" t="inlineStr">
        <is>
          <t>CI2522942414</t>
        </is>
      </c>
      <c r="C49" s="237" t="n">
        <v>45819</v>
      </c>
      <c r="D49" s="220" t="n">
        <v>443.6</v>
      </c>
      <c r="E49" s="220" t="n">
        <v>66.54000000000001</v>
      </c>
      <c r="F49" s="220" t="n">
        <v>377.06</v>
      </c>
      <c r="G49" s="220" t="n">
        <v>4.44</v>
      </c>
      <c r="H49" s="220" t="n">
        <v>0.67</v>
      </c>
      <c r="I49" s="220" t="n">
        <v>3.77</v>
      </c>
    </row>
    <row r="50" ht="28" customHeight="1" s="132">
      <c r="A50" s="220" t="inlineStr">
        <is>
          <t>A39</t>
        </is>
      </c>
      <c r="B50" s="220" t="inlineStr">
        <is>
          <t>CI2522942987</t>
        </is>
      </c>
      <c r="C50" s="237" t="n">
        <v>45819</v>
      </c>
      <c r="D50" s="220" t="n">
        <v>70.02</v>
      </c>
      <c r="E50" s="220" t="n">
        <v>10.5</v>
      </c>
      <c r="F50" s="220" t="n">
        <v>59.52</v>
      </c>
      <c r="G50" s="220" t="n">
        <v>0.7</v>
      </c>
      <c r="H50" s="220" t="n">
        <v>0.1</v>
      </c>
      <c r="I50" s="220" t="n">
        <v>0.6</v>
      </c>
    </row>
    <row r="51" ht="28" customHeight="1" s="132">
      <c r="A51" s="220" t="inlineStr">
        <is>
          <t>A40</t>
        </is>
      </c>
      <c r="B51" s="220" t="inlineStr">
        <is>
          <t>CI2522979507</t>
        </is>
      </c>
      <c r="C51" s="237" t="n">
        <v>45825</v>
      </c>
      <c r="D51" s="220" t="n">
        <v>948.5</v>
      </c>
      <c r="E51" s="220" t="n">
        <v>142.28</v>
      </c>
      <c r="F51" s="220" t="n">
        <v>806.22</v>
      </c>
      <c r="G51" s="220" t="n">
        <v>9.48</v>
      </c>
      <c r="H51" s="220" t="n">
        <v>1.42</v>
      </c>
      <c r="I51" s="220" t="n">
        <v>8.06</v>
      </c>
    </row>
    <row r="52" ht="28" customHeight="1" s="132">
      <c r="A52" s="220" t="inlineStr">
        <is>
          <t>A41</t>
        </is>
      </c>
      <c r="B52" s="220" t="inlineStr">
        <is>
          <t>CI2522985448</t>
        </is>
      </c>
      <c r="C52" s="237" t="n">
        <v>45826</v>
      </c>
      <c r="D52" s="220" t="n">
        <v>1066.39</v>
      </c>
      <c r="E52" s="220" t="n">
        <v>159.96</v>
      </c>
      <c r="F52" s="220" t="n">
        <v>906.4299999999999</v>
      </c>
      <c r="G52" s="220" t="n">
        <v>10.66</v>
      </c>
      <c r="H52" s="220" t="n">
        <v>1.6</v>
      </c>
      <c r="I52" s="220" t="n">
        <v>9.06</v>
      </c>
    </row>
    <row r="53" ht="28" customHeight="1" s="132">
      <c r="A53" s="220" t="inlineStr">
        <is>
          <t>A42</t>
        </is>
      </c>
      <c r="B53" s="220" t="inlineStr">
        <is>
          <t>CI2522987226</t>
        </is>
      </c>
      <c r="C53" s="237" t="n">
        <v>45826</v>
      </c>
      <c r="D53" s="220" t="n">
        <v>1171.31</v>
      </c>
      <c r="E53" s="220" t="n">
        <v>175.7</v>
      </c>
      <c r="F53" s="220" t="n">
        <v>995.61</v>
      </c>
      <c r="G53" s="220" t="n">
        <v>11.71</v>
      </c>
      <c r="H53" s="220" t="n">
        <v>1.76</v>
      </c>
      <c r="I53" s="220" t="n">
        <v>9.949999999999999</v>
      </c>
    </row>
    <row r="54" ht="28" customHeight="1" s="132">
      <c r="A54" s="220" t="inlineStr">
        <is>
          <t>A43</t>
        </is>
      </c>
      <c r="B54" s="220" t="inlineStr">
        <is>
          <t>CI2522985925</t>
        </is>
      </c>
      <c r="C54" s="237" t="n">
        <v>45826</v>
      </c>
      <c r="D54" s="220" t="n">
        <v>250.34</v>
      </c>
      <c r="E54" s="220" t="n">
        <v>37.55</v>
      </c>
      <c r="F54" s="220" t="n">
        <v>212.79</v>
      </c>
      <c r="G54" s="220" t="n">
        <v>2.5</v>
      </c>
      <c r="H54" s="220" t="n">
        <v>0.38</v>
      </c>
      <c r="I54" s="220" t="n">
        <v>2.12</v>
      </c>
    </row>
    <row r="55" ht="28" customHeight="1" s="132">
      <c r="A55" s="220" t="inlineStr">
        <is>
          <t>A44</t>
        </is>
      </c>
      <c r="B55" s="220" t="inlineStr">
        <is>
          <t>CI2522986679</t>
        </is>
      </c>
      <c r="C55" s="237" t="n">
        <v>45826</v>
      </c>
      <c r="D55" s="220" t="n">
        <v>1177.82</v>
      </c>
      <c r="E55" s="220" t="n">
        <v>176.67</v>
      </c>
      <c r="F55" s="220" t="n">
        <v>1001.15</v>
      </c>
      <c r="G55" s="220" t="n">
        <v>11.78</v>
      </c>
      <c r="H55" s="220" t="n">
        <v>1.77</v>
      </c>
      <c r="I55" s="220" t="n">
        <v>10.01</v>
      </c>
    </row>
    <row r="56" ht="28" customHeight="1" s="132">
      <c r="A56" s="220" t="inlineStr">
        <is>
          <t>A45</t>
        </is>
      </c>
      <c r="B56" s="220" t="inlineStr">
        <is>
          <t>CI2522986352</t>
        </is>
      </c>
      <c r="C56" s="237" t="n">
        <v>45826</v>
      </c>
      <c r="D56" s="220" t="n">
        <v>290.92</v>
      </c>
      <c r="E56" s="220" t="n">
        <v>43.64</v>
      </c>
      <c r="F56" s="220" t="n">
        <v>247.28</v>
      </c>
      <c r="G56" s="220" t="n">
        <v>2.91</v>
      </c>
      <c r="H56" s="220" t="n">
        <v>0.44</v>
      </c>
      <c r="I56" s="220" t="n">
        <v>2.47</v>
      </c>
    </row>
    <row r="57" ht="28" customHeight="1" s="132">
      <c r="A57" s="220" t="inlineStr">
        <is>
          <t>A46</t>
        </is>
      </c>
      <c r="B57" s="220" t="inlineStr">
        <is>
          <t>CI2522999835</t>
        </is>
      </c>
      <c r="C57" s="237" t="n">
        <v>45827</v>
      </c>
      <c r="D57" s="220" t="n">
        <v>1093.73</v>
      </c>
      <c r="E57" s="220" t="n">
        <v>164.06</v>
      </c>
      <c r="F57" s="220" t="n">
        <v>929.67</v>
      </c>
      <c r="G57" s="220" t="n">
        <v>10.94</v>
      </c>
      <c r="H57" s="220" t="n">
        <v>1.64</v>
      </c>
      <c r="I57" s="220" t="n">
        <v>9.300000000000001</v>
      </c>
    </row>
    <row r="58" ht="28" customHeight="1" s="132">
      <c r="A58" s="220" t="inlineStr">
        <is>
          <t>A47</t>
        </is>
      </c>
      <c r="B58" s="220" t="inlineStr">
        <is>
          <t>CI2523008017</t>
        </is>
      </c>
      <c r="C58" s="237" t="n">
        <v>45828</v>
      </c>
      <c r="D58" s="220" t="n">
        <v>923.02</v>
      </c>
      <c r="E58" s="220" t="n">
        <v>138.45</v>
      </c>
      <c r="F58" s="220" t="n">
        <v>784.5700000000001</v>
      </c>
      <c r="G58" s="220" t="n">
        <v>9.23</v>
      </c>
      <c r="H58" s="220" t="n">
        <v>1.38</v>
      </c>
      <c r="I58" s="220" t="n">
        <v>7.85</v>
      </c>
    </row>
    <row r="59" ht="28" customHeight="1" s="132">
      <c r="A59" s="220" t="inlineStr">
        <is>
          <t>A48</t>
        </is>
      </c>
      <c r="B59" s="220" t="inlineStr">
        <is>
          <t>CI2523008085</t>
        </is>
      </c>
      <c r="C59" s="237" t="n">
        <v>45828</v>
      </c>
      <c r="D59" s="220" t="n">
        <v>3226.08</v>
      </c>
      <c r="E59" s="220" t="n">
        <v>483.91</v>
      </c>
      <c r="F59" s="220" t="n">
        <v>2742.17</v>
      </c>
      <c r="G59" s="220" t="n">
        <v>32.26</v>
      </c>
      <c r="H59" s="220" t="n">
        <v>4.84</v>
      </c>
      <c r="I59" s="220" t="n">
        <v>27.42</v>
      </c>
    </row>
    <row r="60" ht="28" customHeight="1" s="132">
      <c r="A60" s="220" t="inlineStr">
        <is>
          <t>A49</t>
        </is>
      </c>
      <c r="B60" s="220" t="inlineStr">
        <is>
          <t>CI2523008063</t>
        </is>
      </c>
      <c r="C60" s="237" t="n">
        <v>45828</v>
      </c>
      <c r="D60" s="220" t="n">
        <v>1169.94</v>
      </c>
      <c r="E60" s="220" t="n">
        <v>175.49</v>
      </c>
      <c r="F60" s="220" t="n">
        <v>994.45</v>
      </c>
      <c r="G60" s="220" t="n">
        <v>11.7</v>
      </c>
      <c r="H60" s="220" t="n">
        <v>1.75</v>
      </c>
      <c r="I60" s="220" t="n">
        <v>9.949999999999999</v>
      </c>
    </row>
    <row r="61" ht="28" customHeight="1" s="132">
      <c r="A61" s="220" t="inlineStr">
        <is>
          <t>A50</t>
        </is>
      </c>
      <c r="B61" s="220" t="inlineStr">
        <is>
          <t>CI2523010962</t>
        </is>
      </c>
      <c r="C61" s="237" t="n">
        <v>45829</v>
      </c>
      <c r="D61" s="220" t="n">
        <v>88.15000000000001</v>
      </c>
      <c r="E61" s="220" t="n">
        <v>13.22</v>
      </c>
      <c r="F61" s="220" t="n">
        <v>74.93000000000001</v>
      </c>
      <c r="G61" s="220" t="n">
        <v>0.88</v>
      </c>
      <c r="H61" s="220" t="n">
        <v>0.13</v>
      </c>
      <c r="I61" s="220" t="n">
        <v>0.75</v>
      </c>
    </row>
    <row r="62" ht="28" customHeight="1" s="132">
      <c r="A62" s="220" t="inlineStr">
        <is>
          <t>A51</t>
        </is>
      </c>
      <c r="B62" s="220" t="inlineStr">
        <is>
          <t>CI2523011110</t>
        </is>
      </c>
      <c r="C62" s="237" t="n">
        <v>45829</v>
      </c>
      <c r="D62" s="220" t="n">
        <v>305.29</v>
      </c>
      <c r="E62" s="220" t="n">
        <v>45.79</v>
      </c>
      <c r="F62" s="220" t="n">
        <v>259.5</v>
      </c>
      <c r="G62" s="220" t="n">
        <v>3.05</v>
      </c>
      <c r="H62" s="220" t="n">
        <v>0.46</v>
      </c>
      <c r="I62" s="220" t="n">
        <v>2.59</v>
      </c>
    </row>
    <row r="63" ht="28" customHeight="1" s="132">
      <c r="A63" s="220" t="inlineStr">
        <is>
          <t>A52</t>
        </is>
      </c>
      <c r="B63" s="220" t="inlineStr">
        <is>
          <t>CI2523014383</t>
        </is>
      </c>
      <c r="C63" s="237" t="n">
        <v>45829</v>
      </c>
      <c r="D63" s="220" t="n">
        <v>98.63</v>
      </c>
      <c r="E63" s="220" t="n">
        <v>14.79</v>
      </c>
      <c r="F63" s="220" t="n">
        <v>83.84</v>
      </c>
      <c r="G63" s="220" t="n">
        <v>0.99</v>
      </c>
      <c r="H63" s="220" t="n">
        <v>0.15</v>
      </c>
      <c r="I63" s="220" t="n">
        <v>0.84</v>
      </c>
    </row>
    <row r="64" ht="28" customHeight="1" s="132">
      <c r="A64" s="220" t="inlineStr">
        <is>
          <t>A53</t>
        </is>
      </c>
      <c r="B64" s="220" t="inlineStr">
        <is>
          <t>CI2523025731</t>
        </is>
      </c>
      <c r="C64" s="237" t="n">
        <v>45831</v>
      </c>
      <c r="D64" s="220" t="n">
        <v>258.13</v>
      </c>
      <c r="E64" s="220" t="n">
        <v>38.72</v>
      </c>
      <c r="F64" s="220" t="n">
        <v>219.41</v>
      </c>
      <c r="G64" s="220" t="n">
        <v>2.58</v>
      </c>
      <c r="H64" s="220" t="n">
        <v>0.39</v>
      </c>
      <c r="I64" s="220" t="n">
        <v>2.19</v>
      </c>
    </row>
    <row r="65" ht="28" customHeight="1" s="132">
      <c r="A65" s="220" t="inlineStr">
        <is>
          <t>A54</t>
        </is>
      </c>
      <c r="B65" s="220" t="inlineStr">
        <is>
          <t>CI2523023750</t>
        </is>
      </c>
      <c r="C65" s="237" t="n">
        <v>45831</v>
      </c>
      <c r="D65" s="220" t="n">
        <v>358.35</v>
      </c>
      <c r="E65" s="220" t="n">
        <v>53.75</v>
      </c>
      <c r="F65" s="220" t="n">
        <v>304.6</v>
      </c>
      <c r="G65" s="220" t="n">
        <v>3.58</v>
      </c>
      <c r="H65" s="220" t="n">
        <v>0.54</v>
      </c>
      <c r="I65" s="220" t="n">
        <v>3.04</v>
      </c>
    </row>
    <row r="66" ht="28" customHeight="1" s="132">
      <c r="A66" s="220" t="inlineStr">
        <is>
          <t>A55</t>
        </is>
      </c>
      <c r="B66" s="220" t="inlineStr">
        <is>
          <t>CI2523029111</t>
        </is>
      </c>
      <c r="C66" s="237" t="n">
        <v>45832</v>
      </c>
      <c r="D66" s="220" t="n">
        <v>1456</v>
      </c>
      <c r="E66" s="220" t="n">
        <v>218.4</v>
      </c>
      <c r="F66" s="220" t="n">
        <v>1237.6</v>
      </c>
      <c r="G66" s="220" t="n">
        <v>14.56</v>
      </c>
      <c r="H66" s="220" t="n">
        <v>2.18</v>
      </c>
      <c r="I66" s="220" t="n">
        <v>12.38</v>
      </c>
    </row>
    <row r="67" ht="28" customHeight="1" s="132">
      <c r="A67" s="220" t="inlineStr">
        <is>
          <t>A56</t>
        </is>
      </c>
      <c r="B67" s="220" t="inlineStr">
        <is>
          <t>CI2523036949</t>
        </is>
      </c>
      <c r="C67" s="237" t="n">
        <v>45833</v>
      </c>
      <c r="D67" s="220" t="n">
        <v>59.22</v>
      </c>
      <c r="E67" s="220" t="n">
        <v>8.880000000000001</v>
      </c>
      <c r="F67" s="220" t="n">
        <v>50.34</v>
      </c>
      <c r="G67" s="220" t="n">
        <v>0.59</v>
      </c>
      <c r="H67" s="220" t="n">
        <v>0.09</v>
      </c>
      <c r="I67" s="220" t="n">
        <v>0.5</v>
      </c>
    </row>
    <row r="68" ht="28" customHeight="1" s="132">
      <c r="A68" s="220" t="inlineStr">
        <is>
          <t>A57</t>
        </is>
      </c>
      <c r="B68" s="220" t="inlineStr">
        <is>
          <t>CI2523053118</t>
        </is>
      </c>
      <c r="C68" s="237" t="n">
        <v>45838</v>
      </c>
      <c r="D68" s="220" t="n">
        <v>2144.29</v>
      </c>
      <c r="E68" s="220" t="n">
        <v>321.64</v>
      </c>
      <c r="F68" s="220" t="n">
        <v>1822.65</v>
      </c>
      <c r="G68" s="220" t="n">
        <v>21.44</v>
      </c>
      <c r="H68" s="220" t="n">
        <v>3.22</v>
      </c>
      <c r="I68" s="220" t="n">
        <v>18.22</v>
      </c>
    </row>
    <row r="69" ht="28" customHeight="1" s="132">
      <c r="A69" s="220" t="inlineStr">
        <is>
          <t>A58</t>
        </is>
      </c>
      <c r="B69" s="220" t="inlineStr">
        <is>
          <t>CI2523068157</t>
        </is>
      </c>
      <c r="C69" s="237" t="n">
        <v>45839</v>
      </c>
      <c r="D69" s="220" t="n">
        <v>262.6</v>
      </c>
      <c r="E69" s="220" t="n">
        <v>39.39</v>
      </c>
      <c r="F69" s="220" t="n">
        <v>223.21</v>
      </c>
      <c r="G69" s="220" t="n">
        <v>2.63</v>
      </c>
      <c r="H69" s="220" t="n">
        <v>0.39</v>
      </c>
      <c r="I69" s="220" t="n">
        <v>2.24</v>
      </c>
    </row>
    <row r="70" ht="28" customHeight="1" s="132">
      <c r="A70" s="220" t="inlineStr">
        <is>
          <t>A59</t>
        </is>
      </c>
      <c r="B70" s="220" t="inlineStr">
        <is>
          <t>CI2523060575</t>
        </is>
      </c>
      <c r="C70" s="237" t="n">
        <v>45839</v>
      </c>
      <c r="D70" s="220" t="n">
        <v>90.16</v>
      </c>
      <c r="E70" s="220" t="n">
        <v>13.52</v>
      </c>
      <c r="F70" s="220" t="n">
        <v>76.64</v>
      </c>
      <c r="G70" s="220" t="n">
        <v>0.9</v>
      </c>
      <c r="H70" s="220" t="n">
        <v>0.14</v>
      </c>
      <c r="I70" s="220" t="n">
        <v>0.76</v>
      </c>
    </row>
    <row r="71" ht="28" customHeight="1" s="132">
      <c r="A71" s="220" t="inlineStr">
        <is>
          <t>A60</t>
        </is>
      </c>
      <c r="B71" s="220" t="inlineStr">
        <is>
          <t>CI2523080689</t>
        </is>
      </c>
      <c r="C71" s="237" t="n">
        <v>45840</v>
      </c>
      <c r="D71" s="220" t="n">
        <v>86.98999999999999</v>
      </c>
      <c r="E71" s="220" t="n">
        <v>13.05</v>
      </c>
      <c r="F71" s="220" t="n">
        <v>73.94</v>
      </c>
      <c r="G71" s="220" t="n">
        <v>0.87</v>
      </c>
      <c r="H71" s="220" t="n">
        <v>0.13</v>
      </c>
      <c r="I71" s="220" t="n">
        <v>0.74</v>
      </c>
    </row>
    <row r="72" ht="28" customHeight="1" s="132">
      <c r="A72" s="220" t="inlineStr">
        <is>
          <t>A61</t>
        </is>
      </c>
      <c r="B72" s="220" t="inlineStr">
        <is>
          <t>CI2523094765</t>
        </is>
      </c>
      <c r="C72" s="237" t="n">
        <v>45840</v>
      </c>
      <c r="D72" s="220" t="n">
        <v>165.02</v>
      </c>
      <c r="E72" s="220" t="n">
        <v>24.75</v>
      </c>
      <c r="F72" s="220" t="n">
        <v>140.27</v>
      </c>
      <c r="G72" s="220" t="n">
        <v>1.65</v>
      </c>
      <c r="H72" s="220" t="n">
        <v>0.25</v>
      </c>
      <c r="I72" s="220" t="n">
        <v>1.4</v>
      </c>
    </row>
    <row r="73" ht="28" customHeight="1" s="132">
      <c r="A73" s="220" t="inlineStr">
        <is>
          <t>A62</t>
        </is>
      </c>
      <c r="B73" s="220" t="inlineStr">
        <is>
          <t>CI2523098230</t>
        </is>
      </c>
      <c r="C73" s="237" t="n">
        <v>45841</v>
      </c>
      <c r="D73" s="220" t="n">
        <v>165.48</v>
      </c>
      <c r="E73" s="220" t="n">
        <v>24.82</v>
      </c>
      <c r="F73" s="220" t="n">
        <v>140.66</v>
      </c>
      <c r="G73" s="220" t="n">
        <v>1.65</v>
      </c>
      <c r="H73" s="220" t="n">
        <v>0.25</v>
      </c>
      <c r="I73" s="220" t="n">
        <v>1.4</v>
      </c>
    </row>
    <row r="74" ht="28" customHeight="1" s="132">
      <c r="A74" s="220" t="inlineStr">
        <is>
          <t>A63</t>
        </is>
      </c>
      <c r="B74" s="220" t="inlineStr">
        <is>
          <t>CI2523097753</t>
        </is>
      </c>
      <c r="C74" s="237" t="n">
        <v>45841</v>
      </c>
      <c r="D74" s="220" t="n">
        <v>85.43000000000001</v>
      </c>
      <c r="E74" s="220" t="n">
        <v>12.81</v>
      </c>
      <c r="F74" s="220" t="n">
        <v>72.62</v>
      </c>
      <c r="G74" s="220" t="n">
        <v>0.85</v>
      </c>
      <c r="H74" s="220" t="n">
        <v>0.13</v>
      </c>
      <c r="I74" s="220" t="n">
        <v>0.72</v>
      </c>
    </row>
    <row r="75" ht="28" customHeight="1" s="132">
      <c r="A75" s="220" t="inlineStr">
        <is>
          <t>A64</t>
        </is>
      </c>
      <c r="B75" s="220" t="inlineStr">
        <is>
          <t>CI2523097060</t>
        </is>
      </c>
      <c r="C75" s="237" t="n">
        <v>45841</v>
      </c>
      <c r="D75" s="220" t="n">
        <v>84.66</v>
      </c>
      <c r="E75" s="220" t="n">
        <v>12.7</v>
      </c>
      <c r="F75" s="220" t="n">
        <v>71.95999999999999</v>
      </c>
      <c r="G75" s="220" t="n">
        <v>0.85</v>
      </c>
      <c r="H75" s="220" t="n">
        <v>0.13</v>
      </c>
      <c r="I75" s="220" t="n">
        <v>0.72</v>
      </c>
    </row>
    <row r="76" ht="28" customHeight="1" s="132">
      <c r="A76" s="220" t="inlineStr">
        <is>
          <t>A65</t>
        </is>
      </c>
      <c r="B76" s="220" t="inlineStr">
        <is>
          <t>CI2523104973</t>
        </is>
      </c>
      <c r="C76" s="237" t="n">
        <v>45841</v>
      </c>
      <c r="D76" s="220" t="n">
        <v>90.19</v>
      </c>
      <c r="E76" s="220" t="n">
        <v>13.53</v>
      </c>
      <c r="F76" s="220" t="n">
        <v>76.66</v>
      </c>
      <c r="G76" s="220" t="n">
        <v>0.9</v>
      </c>
      <c r="H76" s="220" t="n">
        <v>0.14</v>
      </c>
      <c r="I76" s="220" t="n">
        <v>0.76</v>
      </c>
    </row>
    <row r="77" ht="28" customHeight="1" s="132">
      <c r="A77" s="220" t="inlineStr">
        <is>
          <t>A66</t>
        </is>
      </c>
      <c r="B77" s="220" t="inlineStr">
        <is>
          <t>CI2523098480</t>
        </is>
      </c>
      <c r="C77" s="237" t="n">
        <v>45841</v>
      </c>
      <c r="D77" s="220" t="n">
        <v>302.33</v>
      </c>
      <c r="E77" s="220" t="n">
        <v>45.35</v>
      </c>
      <c r="F77" s="220" t="n">
        <v>256.98</v>
      </c>
      <c r="G77" s="220" t="n">
        <v>3.02</v>
      </c>
      <c r="H77" s="220" t="n">
        <v>0.45</v>
      </c>
      <c r="I77" s="220" t="n">
        <v>2.57</v>
      </c>
    </row>
    <row r="78" ht="28" customHeight="1" s="132">
      <c r="A78" s="220" t="inlineStr">
        <is>
          <t>A67</t>
        </is>
      </c>
      <c r="B78" s="220" t="inlineStr">
        <is>
          <t>CI2523106540</t>
        </is>
      </c>
      <c r="C78" s="237" t="n">
        <v>45842</v>
      </c>
      <c r="D78" s="220" t="n">
        <v>250</v>
      </c>
      <c r="E78" s="220" t="n">
        <v>37.5</v>
      </c>
      <c r="F78" s="220" t="n">
        <v>212.5</v>
      </c>
      <c r="G78" s="220" t="n">
        <v>2.5</v>
      </c>
      <c r="H78" s="220" t="n">
        <v>0.38</v>
      </c>
      <c r="I78" s="220" t="n">
        <v>2.12</v>
      </c>
    </row>
    <row r="79" ht="28" customHeight="1" s="132">
      <c r="A79" s="220" t="inlineStr">
        <is>
          <t>A68</t>
        </is>
      </c>
      <c r="B79" s="220" t="inlineStr">
        <is>
          <t>CI2523119344</t>
        </is>
      </c>
      <c r="C79" s="237" t="n">
        <v>45843</v>
      </c>
      <c r="D79" s="220" t="n">
        <v>90.13</v>
      </c>
      <c r="E79" s="220" t="n">
        <v>13.52</v>
      </c>
      <c r="F79" s="220" t="n">
        <v>76.61</v>
      </c>
      <c r="G79" s="220" t="n">
        <v>0.9</v>
      </c>
      <c r="H79" s="220" t="n">
        <v>0.14</v>
      </c>
      <c r="I79" s="220" t="n">
        <v>0.76</v>
      </c>
    </row>
    <row r="80" ht="28" customHeight="1" s="132">
      <c r="A80" s="220" t="inlineStr">
        <is>
          <t>A69</t>
        </is>
      </c>
      <c r="B80" s="220" t="inlineStr">
        <is>
          <t>CI2523119379</t>
        </is>
      </c>
      <c r="C80" s="237" t="n">
        <v>45843</v>
      </c>
      <c r="D80" s="220" t="n">
        <v>889.59</v>
      </c>
      <c r="E80" s="220" t="n">
        <v>133.44</v>
      </c>
      <c r="F80" s="220" t="n">
        <v>756.15</v>
      </c>
      <c r="G80" s="220" t="n">
        <v>8.9</v>
      </c>
      <c r="H80" s="220" t="n">
        <v>1.33</v>
      </c>
      <c r="I80" s="220" t="n">
        <v>7.57</v>
      </c>
    </row>
    <row r="81" ht="28" customHeight="1" s="132">
      <c r="A81" s="220" t="inlineStr">
        <is>
          <t>A70</t>
        </is>
      </c>
      <c r="B81" s="220" t="inlineStr">
        <is>
          <t>CI2523128960</t>
        </is>
      </c>
      <c r="C81" s="237" t="n">
        <v>45845</v>
      </c>
      <c r="D81" s="220" t="n">
        <v>840.2</v>
      </c>
      <c r="E81" s="220" t="n">
        <v>126.03</v>
      </c>
      <c r="F81" s="220" t="n">
        <v>714.17</v>
      </c>
      <c r="G81" s="220" t="n">
        <v>8.4</v>
      </c>
      <c r="H81" s="220" t="n">
        <v>1.26</v>
      </c>
      <c r="I81" s="220" t="n">
        <v>7.14</v>
      </c>
    </row>
    <row r="82" ht="28" customHeight="1" s="132">
      <c r="A82" s="220" t="inlineStr">
        <is>
          <t>A71</t>
        </is>
      </c>
      <c r="B82" s="220" t="inlineStr">
        <is>
          <t>CI2523148944</t>
        </is>
      </c>
      <c r="C82" s="237" t="n">
        <v>45847</v>
      </c>
      <c r="D82" s="220" t="n">
        <v>200.07</v>
      </c>
      <c r="E82" s="220" t="n">
        <v>30.01</v>
      </c>
      <c r="F82" s="220" t="n">
        <v>170.06</v>
      </c>
      <c r="G82" s="220" t="n">
        <v>2</v>
      </c>
      <c r="H82" s="220" t="n">
        <v>0.3</v>
      </c>
      <c r="I82" s="220" t="n">
        <v>1.7</v>
      </c>
    </row>
    <row r="83" ht="28" customHeight="1" s="132">
      <c r="A83" s="220" t="inlineStr">
        <is>
          <t>A72</t>
        </is>
      </c>
      <c r="B83" s="220" t="inlineStr">
        <is>
          <t>CI2523142057</t>
        </is>
      </c>
      <c r="C83" s="237" t="n">
        <v>45847</v>
      </c>
      <c r="D83" s="220" t="n">
        <v>1153.75</v>
      </c>
      <c r="E83" s="220" t="n">
        <v>173.06</v>
      </c>
      <c r="F83" s="220" t="n">
        <v>980.6900000000001</v>
      </c>
      <c r="G83" s="220" t="n">
        <v>11.54</v>
      </c>
      <c r="H83" s="220" t="n">
        <v>1.73</v>
      </c>
      <c r="I83" s="220" t="n">
        <v>9.81</v>
      </c>
    </row>
    <row r="84" ht="28" customHeight="1" s="132">
      <c r="A84" s="220" t="inlineStr">
        <is>
          <t>A73</t>
        </is>
      </c>
      <c r="B84" s="220" t="inlineStr">
        <is>
          <t>CI2523146072</t>
        </is>
      </c>
      <c r="C84" s="237" t="n">
        <v>45847</v>
      </c>
      <c r="D84" s="220" t="n">
        <v>122.72</v>
      </c>
      <c r="E84" s="220" t="n">
        <v>18.41</v>
      </c>
      <c r="F84" s="220" t="n">
        <v>104.31</v>
      </c>
      <c r="G84" s="220" t="n">
        <v>1.23</v>
      </c>
      <c r="H84" s="220" t="n">
        <v>0.18</v>
      </c>
      <c r="I84" s="220" t="n">
        <v>1.05</v>
      </c>
    </row>
    <row r="85" ht="28" customHeight="1" s="132">
      <c r="A85" s="220" t="inlineStr">
        <is>
          <t>A74</t>
        </is>
      </c>
      <c r="B85" s="220" t="inlineStr">
        <is>
          <t>CI2523149221</t>
        </is>
      </c>
      <c r="C85" s="237" t="n">
        <v>45848</v>
      </c>
      <c r="D85" s="220" t="n">
        <v>1020.14</v>
      </c>
      <c r="E85" s="220" t="n">
        <v>153.02</v>
      </c>
      <c r="F85" s="220" t="n">
        <v>867.12</v>
      </c>
      <c r="G85" s="220" t="n">
        <v>10.2</v>
      </c>
      <c r="H85" s="220" t="n">
        <v>1.53</v>
      </c>
      <c r="I85" s="220" t="n">
        <v>8.67</v>
      </c>
    </row>
    <row r="86" ht="28" customHeight="1" s="132">
      <c r="A86" s="220" t="inlineStr">
        <is>
          <t>A75</t>
        </is>
      </c>
      <c r="B86" s="220" t="inlineStr">
        <is>
          <t>CI2523155515</t>
        </is>
      </c>
      <c r="C86" s="237" t="n">
        <v>45848</v>
      </c>
      <c r="D86" s="220" t="n">
        <v>91</v>
      </c>
      <c r="E86" s="220" t="n">
        <v>13.65</v>
      </c>
      <c r="F86" s="220" t="n">
        <v>77.34999999999999</v>
      </c>
      <c r="G86" s="220" t="n">
        <v>0.91</v>
      </c>
      <c r="H86" s="220" t="n">
        <v>0.14</v>
      </c>
      <c r="I86" s="220" t="n">
        <v>0.77</v>
      </c>
    </row>
    <row r="87" ht="28" customHeight="1" s="132">
      <c r="A87" s="220" t="inlineStr">
        <is>
          <t>A76</t>
        </is>
      </c>
      <c r="B87" s="220" t="inlineStr">
        <is>
          <t>CI2523055051</t>
        </is>
      </c>
      <c r="C87" s="237" t="n">
        <v>45848</v>
      </c>
      <c r="D87" s="220" t="n">
        <v>193.8</v>
      </c>
      <c r="E87" s="220" t="n">
        <v>29.07</v>
      </c>
      <c r="F87" s="220" t="n">
        <v>164.73</v>
      </c>
      <c r="G87" s="220" t="n">
        <v>1.94</v>
      </c>
      <c r="H87" s="220" t="n">
        <v>0.29</v>
      </c>
      <c r="I87" s="220" t="n">
        <v>1.65</v>
      </c>
    </row>
    <row r="88" ht="28" customHeight="1" s="132">
      <c r="A88" s="220" t="inlineStr">
        <is>
          <t>A77</t>
        </is>
      </c>
      <c r="B88" s="220" t="inlineStr">
        <is>
          <t>CI2523179312</t>
        </is>
      </c>
      <c r="C88" s="237" t="n">
        <v>45852</v>
      </c>
      <c r="D88" s="220" t="n">
        <v>176.38</v>
      </c>
      <c r="E88" s="220" t="n">
        <v>26.46</v>
      </c>
      <c r="F88" s="220" t="n">
        <v>149.92</v>
      </c>
      <c r="G88" s="220" t="n">
        <v>1.76</v>
      </c>
      <c r="H88" s="220" t="n">
        <v>0.26</v>
      </c>
      <c r="I88" s="220" t="n">
        <v>1.5</v>
      </c>
    </row>
    <row r="89" ht="28" customHeight="1" s="132">
      <c r="A89" s="220" t="inlineStr">
        <is>
          <t>A78</t>
        </is>
      </c>
      <c r="B89" s="220" t="inlineStr">
        <is>
          <t>CI2523179172</t>
        </is>
      </c>
      <c r="C89" s="237" t="n">
        <v>45852</v>
      </c>
      <c r="D89" s="220" t="n">
        <v>314.56</v>
      </c>
      <c r="E89" s="220" t="n">
        <v>47.18</v>
      </c>
      <c r="F89" s="220" t="n">
        <v>267.38</v>
      </c>
      <c r="G89" s="220" t="n">
        <v>3.15</v>
      </c>
      <c r="H89" s="220" t="n">
        <v>0.47</v>
      </c>
      <c r="I89" s="220" t="n">
        <v>2.68</v>
      </c>
    </row>
    <row r="90" ht="28" customHeight="1" s="132">
      <c r="A90" s="220" t="inlineStr">
        <is>
          <t>A79</t>
        </is>
      </c>
      <c r="B90" s="220" t="inlineStr">
        <is>
          <t>CI2523179450</t>
        </is>
      </c>
      <c r="C90" s="237" t="n">
        <v>45852</v>
      </c>
      <c r="D90" s="220" t="n">
        <v>247.29</v>
      </c>
      <c r="E90" s="220" t="n">
        <v>37.09</v>
      </c>
      <c r="F90" s="220" t="n">
        <v>210.2</v>
      </c>
      <c r="G90" s="220" t="n">
        <v>2.47</v>
      </c>
      <c r="H90" s="220" t="n">
        <v>0.37</v>
      </c>
      <c r="I90" s="220" t="n">
        <v>2.1</v>
      </c>
    </row>
    <row r="91" ht="28" customHeight="1" s="132">
      <c r="A91" s="220" t="inlineStr">
        <is>
          <t>A80</t>
        </is>
      </c>
      <c r="B91" s="220" t="inlineStr">
        <is>
          <t>CI2523179581</t>
        </is>
      </c>
      <c r="C91" s="237" t="n">
        <v>45852</v>
      </c>
      <c r="D91" s="220" t="n">
        <v>250.93</v>
      </c>
      <c r="E91" s="220" t="n">
        <v>37.64</v>
      </c>
      <c r="F91" s="220" t="n">
        <v>213.29</v>
      </c>
      <c r="G91" s="220" t="n">
        <v>2.51</v>
      </c>
      <c r="H91" s="220" t="n">
        <v>0.38</v>
      </c>
      <c r="I91" s="220" t="n">
        <v>2.13</v>
      </c>
    </row>
    <row r="92" ht="28" customHeight="1" s="132">
      <c r="A92" s="220" t="inlineStr">
        <is>
          <t>A81</t>
        </is>
      </c>
      <c r="B92" s="220" t="inlineStr">
        <is>
          <t>CI2523179095</t>
        </is>
      </c>
      <c r="C92" s="237" t="n">
        <v>45852</v>
      </c>
      <c r="D92" s="220" t="n">
        <v>226.98</v>
      </c>
      <c r="E92" s="220" t="n">
        <v>34.05</v>
      </c>
      <c r="F92" s="220" t="n">
        <v>192.93</v>
      </c>
      <c r="G92" s="220" t="n">
        <v>2.27</v>
      </c>
      <c r="H92" s="220" t="n">
        <v>0.34</v>
      </c>
      <c r="I92" s="220" t="n">
        <v>1.93</v>
      </c>
    </row>
    <row r="93" ht="28" customHeight="1" s="132">
      <c r="A93" s="220" t="inlineStr">
        <is>
          <t>A82</t>
        </is>
      </c>
      <c r="B93" s="220" t="inlineStr">
        <is>
          <t>CI2523181209</t>
        </is>
      </c>
      <c r="C93" s="237" t="n">
        <v>45852</v>
      </c>
      <c r="D93" s="220" t="n">
        <v>265.96</v>
      </c>
      <c r="E93" s="220" t="n">
        <v>39.89</v>
      </c>
      <c r="F93" s="220" t="n">
        <v>226.07</v>
      </c>
      <c r="G93" s="220" t="n">
        <v>2.66</v>
      </c>
      <c r="H93" s="220" t="n">
        <v>0.4</v>
      </c>
      <c r="I93" s="220" t="n">
        <v>2.26</v>
      </c>
    </row>
    <row r="94" ht="28" customHeight="1" s="132">
      <c r="A94" s="220" t="inlineStr">
        <is>
          <t>A83</t>
        </is>
      </c>
      <c r="B94" s="220" t="inlineStr">
        <is>
          <t>CI2523176255</t>
        </is>
      </c>
      <c r="C94" s="237" t="n">
        <v>45852</v>
      </c>
      <c r="D94" s="220" t="n">
        <v>89.31999999999999</v>
      </c>
      <c r="E94" s="220" t="n">
        <v>13.4</v>
      </c>
      <c r="F94" s="220" t="n">
        <v>75.92</v>
      </c>
      <c r="G94" s="220" t="n">
        <v>0.89</v>
      </c>
      <c r="H94" s="220" t="n">
        <v>0.13</v>
      </c>
      <c r="I94" s="220" t="n">
        <v>0.76</v>
      </c>
    </row>
    <row r="95" ht="28" customHeight="1" s="132">
      <c r="A95" s="220" t="inlineStr">
        <is>
          <t>A84</t>
        </is>
      </c>
      <c r="B95" s="220" t="inlineStr">
        <is>
          <t>CI2523179519</t>
        </is>
      </c>
      <c r="C95" s="237" t="n">
        <v>45852</v>
      </c>
      <c r="D95" s="220" t="n">
        <v>117.03</v>
      </c>
      <c r="E95" s="220" t="n">
        <v>17.55</v>
      </c>
      <c r="F95" s="220" t="n">
        <v>99.48</v>
      </c>
      <c r="G95" s="220" t="n">
        <v>1.17</v>
      </c>
      <c r="H95" s="220" t="n">
        <v>0.18</v>
      </c>
      <c r="I95" s="220" t="n">
        <v>0.99</v>
      </c>
    </row>
    <row r="96" ht="28" customHeight="1" s="132">
      <c r="A96" s="220" t="inlineStr">
        <is>
          <t>A85</t>
        </is>
      </c>
      <c r="B96" s="220" t="inlineStr">
        <is>
          <t>CI2523180036</t>
        </is>
      </c>
      <c r="C96" s="237" t="n">
        <v>45852</v>
      </c>
      <c r="D96" s="220" t="n">
        <v>220.62</v>
      </c>
      <c r="E96" s="220" t="n">
        <v>33.09</v>
      </c>
      <c r="F96" s="220" t="n">
        <v>187.53</v>
      </c>
      <c r="G96" s="220" t="n">
        <v>2.21</v>
      </c>
      <c r="H96" s="220" t="n">
        <v>0.33</v>
      </c>
      <c r="I96" s="220" t="n">
        <v>1.88</v>
      </c>
    </row>
    <row r="97" ht="28" customHeight="1" s="132">
      <c r="A97" s="220" t="inlineStr">
        <is>
          <t>A86</t>
        </is>
      </c>
      <c r="B97" s="220" t="inlineStr">
        <is>
          <t>CI2523180172</t>
        </is>
      </c>
      <c r="C97" s="237" t="n">
        <v>45852</v>
      </c>
      <c r="D97" s="220" t="n">
        <v>294.22</v>
      </c>
      <c r="E97" s="220" t="n">
        <v>44.13</v>
      </c>
      <c r="F97" s="220" t="n">
        <v>250.09</v>
      </c>
      <c r="G97" s="220" t="n">
        <v>2.94</v>
      </c>
      <c r="H97" s="220" t="n">
        <v>0.44</v>
      </c>
      <c r="I97" s="220" t="n">
        <v>2.5</v>
      </c>
    </row>
    <row r="98" ht="28" customHeight="1" s="132">
      <c r="A98" s="220" t="inlineStr">
        <is>
          <t>A87</t>
        </is>
      </c>
      <c r="B98" s="220" t="inlineStr">
        <is>
          <t>CI2523180165</t>
        </is>
      </c>
      <c r="C98" s="237" t="n">
        <v>45852</v>
      </c>
      <c r="D98" s="220" t="n">
        <v>200.85</v>
      </c>
      <c r="E98" s="220" t="n">
        <v>30.13</v>
      </c>
      <c r="F98" s="220" t="n">
        <v>170.72</v>
      </c>
      <c r="G98" s="220" t="n">
        <v>2.01</v>
      </c>
      <c r="H98" s="220" t="n">
        <v>0.3</v>
      </c>
      <c r="I98" s="220" t="n">
        <v>1.71</v>
      </c>
    </row>
    <row r="99" ht="28" customHeight="1" s="132">
      <c r="A99" s="220" t="inlineStr">
        <is>
          <t>A88</t>
        </is>
      </c>
      <c r="B99" s="220" t="inlineStr">
        <is>
          <t>CI2523179763</t>
        </is>
      </c>
      <c r="C99" s="237" t="n">
        <v>45852</v>
      </c>
      <c r="D99" s="220" t="n">
        <v>175.76</v>
      </c>
      <c r="E99" s="220" t="n">
        <v>26.36</v>
      </c>
      <c r="F99" s="220" t="n">
        <v>149.4</v>
      </c>
      <c r="G99" s="220" t="n">
        <v>1.76</v>
      </c>
      <c r="H99" s="220" t="n">
        <v>0.26</v>
      </c>
      <c r="I99" s="220" t="n">
        <v>1.5</v>
      </c>
    </row>
    <row r="100" ht="28" customHeight="1" s="132">
      <c r="A100" s="220" t="inlineStr">
        <is>
          <t>A89</t>
        </is>
      </c>
      <c r="B100" s="220" t="inlineStr">
        <is>
          <t>CI2523179932</t>
        </is>
      </c>
      <c r="C100" s="237" t="n">
        <v>45852</v>
      </c>
      <c r="D100" s="220" t="n">
        <v>230.11</v>
      </c>
      <c r="E100" s="220" t="n">
        <v>34.52</v>
      </c>
      <c r="F100" s="220" t="n">
        <v>195.59</v>
      </c>
      <c r="G100" s="220" t="n">
        <v>2.3</v>
      </c>
      <c r="H100" s="220" t="n">
        <v>0.35</v>
      </c>
      <c r="I100" s="220" t="n">
        <v>1.95</v>
      </c>
    </row>
    <row r="101" ht="28" customHeight="1" s="132">
      <c r="A101" s="220" t="inlineStr">
        <is>
          <t>A90</t>
        </is>
      </c>
      <c r="B101" s="220" t="inlineStr">
        <is>
          <t>CI2523180293</t>
        </is>
      </c>
      <c r="C101" s="237" t="n">
        <v>45852</v>
      </c>
      <c r="D101" s="220" t="n">
        <v>260.17</v>
      </c>
      <c r="E101" s="220" t="n">
        <v>39.03</v>
      </c>
      <c r="F101" s="220" t="n">
        <v>221.14</v>
      </c>
      <c r="G101" s="220" t="n">
        <v>2.6</v>
      </c>
      <c r="H101" s="220" t="n">
        <v>0.39</v>
      </c>
      <c r="I101" s="220" t="n">
        <v>2.21</v>
      </c>
    </row>
    <row r="102" ht="28" customHeight="1" s="132">
      <c r="A102" s="220" t="inlineStr">
        <is>
          <t>A91</t>
        </is>
      </c>
      <c r="B102" s="220" t="inlineStr">
        <is>
          <t>CI2523178830</t>
        </is>
      </c>
      <c r="C102" s="237" t="n">
        <v>45852</v>
      </c>
      <c r="D102" s="220" t="n">
        <v>190.95</v>
      </c>
      <c r="E102" s="220" t="n">
        <v>28.64</v>
      </c>
      <c r="F102" s="220" t="n">
        <v>162.31</v>
      </c>
      <c r="G102" s="220" t="n">
        <v>1.91</v>
      </c>
      <c r="H102" s="220" t="n">
        <v>0.29</v>
      </c>
      <c r="I102" s="220" t="n">
        <v>1.62</v>
      </c>
    </row>
    <row r="103" ht="28" customHeight="1" s="132">
      <c r="A103" s="220" t="inlineStr">
        <is>
          <t>A92</t>
        </is>
      </c>
      <c r="B103" s="220" t="inlineStr">
        <is>
          <t>CI2523188033</t>
        </is>
      </c>
      <c r="C103" s="237" t="n">
        <v>45853</v>
      </c>
      <c r="D103" s="220" t="n">
        <v>1755.18</v>
      </c>
      <c r="E103" s="220" t="n">
        <v>263.27</v>
      </c>
      <c r="F103" s="220" t="n">
        <v>1491.91</v>
      </c>
      <c r="G103" s="220" t="n">
        <v>17.55</v>
      </c>
      <c r="H103" s="220" t="n">
        <v>2.63</v>
      </c>
      <c r="I103" s="220" t="n">
        <v>14.92</v>
      </c>
    </row>
    <row r="104" ht="28" customHeight="1" s="132">
      <c r="A104" s="220" t="inlineStr">
        <is>
          <t>A93</t>
        </is>
      </c>
      <c r="B104" s="220" t="inlineStr">
        <is>
          <t>CI2523187490</t>
        </is>
      </c>
      <c r="C104" s="237" t="n">
        <v>45853</v>
      </c>
      <c r="D104" s="220" t="n">
        <v>715.54</v>
      </c>
      <c r="E104" s="220" t="n">
        <v>107.33</v>
      </c>
      <c r="F104" s="220" t="n">
        <v>608.21</v>
      </c>
      <c r="G104" s="220" t="n">
        <v>7.16</v>
      </c>
      <c r="H104" s="220" t="n">
        <v>1.07</v>
      </c>
      <c r="I104" s="220" t="n">
        <v>6.09</v>
      </c>
    </row>
    <row r="105" ht="28" customHeight="1" s="132">
      <c r="A105" s="220" t="inlineStr">
        <is>
          <t>A94</t>
        </is>
      </c>
      <c r="B105" s="220" t="inlineStr">
        <is>
          <t>CI2523202518</t>
        </is>
      </c>
      <c r="C105" s="237" t="n">
        <v>45855</v>
      </c>
      <c r="D105" s="220" t="n">
        <v>295.48</v>
      </c>
      <c r="E105" s="220" t="n">
        <v>44.32</v>
      </c>
      <c r="F105" s="220" t="n">
        <v>251.16</v>
      </c>
      <c r="G105" s="220" t="n">
        <v>2.95</v>
      </c>
      <c r="H105" s="220" t="n">
        <v>0.44</v>
      </c>
      <c r="I105" s="220" t="n">
        <v>2.51</v>
      </c>
    </row>
    <row r="106" ht="28" customHeight="1" s="132">
      <c r="A106" s="220" t="inlineStr">
        <is>
          <t>A95</t>
        </is>
      </c>
      <c r="B106" s="220" t="inlineStr">
        <is>
          <t>CI2523211419</t>
        </is>
      </c>
      <c r="C106" s="237" t="n">
        <v>45856</v>
      </c>
      <c r="D106" s="220" t="n">
        <v>418.2</v>
      </c>
      <c r="E106" s="220" t="n">
        <v>62.73</v>
      </c>
      <c r="F106" s="220" t="n">
        <v>355.47</v>
      </c>
      <c r="G106" s="220" t="n">
        <v>4.18</v>
      </c>
      <c r="H106" s="220" t="n">
        <v>0.63</v>
      </c>
      <c r="I106" s="220" t="n">
        <v>3.55</v>
      </c>
    </row>
    <row r="107" ht="28" customHeight="1" s="132">
      <c r="A107" s="220" t="inlineStr">
        <is>
          <t>A96</t>
        </is>
      </c>
      <c r="B107" s="220" t="inlineStr">
        <is>
          <t>CI2523214012</t>
        </is>
      </c>
      <c r="C107" s="237" t="n">
        <v>45856</v>
      </c>
      <c r="D107" s="220" t="n">
        <v>314.5</v>
      </c>
      <c r="E107" s="220" t="n">
        <v>47.17</v>
      </c>
      <c r="F107" s="220" t="n">
        <v>267.33</v>
      </c>
      <c r="G107" s="220" t="n">
        <v>3.15</v>
      </c>
      <c r="H107" s="220" t="n">
        <v>0.47</v>
      </c>
      <c r="I107" s="220" t="n">
        <v>2.68</v>
      </c>
    </row>
    <row r="108" ht="28" customHeight="1" s="132">
      <c r="A108" s="220" t="inlineStr">
        <is>
          <t>A97</t>
        </is>
      </c>
      <c r="B108" s="220" t="inlineStr">
        <is>
          <t>CI2523231947</t>
        </is>
      </c>
      <c r="C108" s="237" t="n">
        <v>45860</v>
      </c>
      <c r="D108" s="220" t="n">
        <v>6508.77</v>
      </c>
      <c r="E108" s="220" t="n">
        <v>976.3200000000001</v>
      </c>
      <c r="F108" s="220" t="n">
        <v>5532.45</v>
      </c>
      <c r="G108" s="220" t="n">
        <v>65.09</v>
      </c>
      <c r="H108" s="220" t="n">
        <v>9.76</v>
      </c>
      <c r="I108" s="220" t="n">
        <v>55.33</v>
      </c>
    </row>
    <row r="109" ht="28" customHeight="1" s="132">
      <c r="A109" s="220" t="inlineStr">
        <is>
          <t>A98</t>
        </is>
      </c>
      <c r="B109" s="220" t="inlineStr">
        <is>
          <t>CI2523242172</t>
        </is>
      </c>
      <c r="C109" s="237" t="n">
        <v>45861</v>
      </c>
      <c r="D109" s="220" t="n">
        <v>221.75</v>
      </c>
      <c r="E109" s="220" t="n">
        <v>33.26</v>
      </c>
      <c r="F109" s="220" t="n">
        <v>188.49</v>
      </c>
      <c r="G109" s="220" t="n">
        <v>2.22</v>
      </c>
      <c r="H109" s="220" t="n">
        <v>0.33</v>
      </c>
      <c r="I109" s="220" t="n">
        <v>1.89</v>
      </c>
    </row>
    <row r="110" ht="28" customHeight="1" s="132">
      <c r="A110" s="220" t="inlineStr">
        <is>
          <t>A99</t>
        </is>
      </c>
      <c r="B110" s="220" t="inlineStr">
        <is>
          <t>CI2523241892</t>
        </is>
      </c>
      <c r="C110" s="237" t="n">
        <v>45861</v>
      </c>
      <c r="D110" s="220" t="n">
        <v>251.25</v>
      </c>
      <c r="E110" s="220" t="n">
        <v>37.69</v>
      </c>
      <c r="F110" s="220" t="n">
        <v>213.56</v>
      </c>
      <c r="G110" s="220" t="n">
        <v>2.51</v>
      </c>
      <c r="H110" s="220" t="n">
        <v>0.38</v>
      </c>
      <c r="I110" s="220" t="n">
        <v>2.13</v>
      </c>
    </row>
    <row r="111" ht="28" customHeight="1" s="132">
      <c r="A111" s="220" t="inlineStr">
        <is>
          <t>A100</t>
        </is>
      </c>
      <c r="B111" s="220" t="inlineStr">
        <is>
          <t>CI2523242059</t>
        </is>
      </c>
      <c r="C111" s="237" t="n">
        <v>45861</v>
      </c>
      <c r="D111" s="220" t="n">
        <v>248.56</v>
      </c>
      <c r="E111" s="220" t="n">
        <v>37.28</v>
      </c>
      <c r="F111" s="220" t="n">
        <v>211.28</v>
      </c>
      <c r="G111" s="220" t="n">
        <v>2.49</v>
      </c>
      <c r="H111" s="220" t="n">
        <v>0.37</v>
      </c>
      <c r="I111" s="220" t="n">
        <v>2.12</v>
      </c>
    </row>
    <row r="112" ht="28" customHeight="1" s="132">
      <c r="A112" s="220" t="inlineStr">
        <is>
          <t>A101</t>
        </is>
      </c>
      <c r="B112" s="220" t="inlineStr">
        <is>
          <t>CI2523260636</t>
        </is>
      </c>
      <c r="C112" s="237" t="n">
        <v>45863</v>
      </c>
      <c r="D112" s="220" t="n">
        <v>109.57</v>
      </c>
      <c r="E112" s="220" t="n">
        <v>16.44</v>
      </c>
      <c r="F112" s="220" t="n">
        <v>93.13</v>
      </c>
      <c r="G112" s="220" t="n">
        <v>1.1</v>
      </c>
      <c r="H112" s="220" t="n">
        <v>0.16</v>
      </c>
      <c r="I112" s="220" t="n">
        <v>0.9399999999999999</v>
      </c>
    </row>
    <row r="113" ht="28" customHeight="1" s="132">
      <c r="A113" s="220" t="inlineStr">
        <is>
          <t>A102</t>
        </is>
      </c>
      <c r="B113" s="220" t="inlineStr">
        <is>
          <t>CI2523264189</t>
        </is>
      </c>
      <c r="C113" s="237" t="n">
        <v>45863</v>
      </c>
      <c r="D113" s="220" t="n">
        <v>1596.88</v>
      </c>
      <c r="E113" s="220" t="n">
        <v>239.53</v>
      </c>
      <c r="F113" s="220" t="n">
        <v>1357.35</v>
      </c>
      <c r="G113" s="220" t="n">
        <v>15.97</v>
      </c>
      <c r="H113" s="220" t="n">
        <v>2.4</v>
      </c>
      <c r="I113" s="220" t="n">
        <v>13.57</v>
      </c>
    </row>
    <row r="114" ht="28" customHeight="1" s="132">
      <c r="A114" s="220" t="inlineStr">
        <is>
          <t>A103</t>
        </is>
      </c>
      <c r="B114" s="220" t="inlineStr">
        <is>
          <t>CI2523264750</t>
        </is>
      </c>
      <c r="C114" s="237" t="n">
        <v>45863</v>
      </c>
      <c r="D114" s="220" t="n">
        <v>338.66</v>
      </c>
      <c r="E114" s="220" t="n">
        <v>50.8</v>
      </c>
      <c r="F114" s="220" t="n">
        <v>287.86</v>
      </c>
      <c r="G114" s="220" t="n">
        <v>3.39</v>
      </c>
      <c r="H114" s="220" t="n">
        <v>0.51</v>
      </c>
      <c r="I114" s="220" t="n">
        <v>2.88</v>
      </c>
    </row>
    <row r="115" ht="28" customHeight="1" s="132">
      <c r="A115" s="220" t="inlineStr">
        <is>
          <t>A104</t>
        </is>
      </c>
      <c r="B115" s="220" t="inlineStr">
        <is>
          <t>CI2523258801</t>
        </is>
      </c>
      <c r="C115" s="237" t="n">
        <v>45863</v>
      </c>
      <c r="D115" s="220" t="n">
        <v>338.66</v>
      </c>
      <c r="E115" s="220" t="n">
        <v>50.8</v>
      </c>
      <c r="F115" s="220" t="n">
        <v>287.86</v>
      </c>
      <c r="G115" s="220" t="n">
        <v>3.39</v>
      </c>
      <c r="H115" s="220" t="n">
        <v>0.51</v>
      </c>
      <c r="I115" s="220" t="n">
        <v>2.88</v>
      </c>
    </row>
    <row r="116" ht="28" customHeight="1" s="132">
      <c r="A116" s="220" t="inlineStr">
        <is>
          <t>A105</t>
        </is>
      </c>
      <c r="B116" s="220" t="inlineStr">
        <is>
          <t>CI2523275552</t>
        </is>
      </c>
      <c r="C116" s="237" t="n">
        <v>45866</v>
      </c>
      <c r="D116" s="220" t="n">
        <v>222.73</v>
      </c>
      <c r="E116" s="220" t="n">
        <v>33.41</v>
      </c>
      <c r="F116" s="220" t="n">
        <v>189.32</v>
      </c>
      <c r="G116" s="220" t="n">
        <v>2.23</v>
      </c>
      <c r="H116" s="220" t="n">
        <v>0.33</v>
      </c>
      <c r="I116" s="220" t="n">
        <v>1.9</v>
      </c>
    </row>
    <row r="117" ht="28" customHeight="1" s="132">
      <c r="A117" s="220" t="inlineStr">
        <is>
          <t>A106</t>
        </is>
      </c>
      <c r="B117" s="220" t="inlineStr">
        <is>
          <t>CI2523333560</t>
        </is>
      </c>
      <c r="C117" s="237" t="n">
        <v>45873</v>
      </c>
      <c r="D117" s="220" t="n">
        <v>101.46</v>
      </c>
      <c r="E117" s="220" t="n">
        <v>15.22</v>
      </c>
      <c r="F117" s="220" t="n">
        <v>86.23999999999999</v>
      </c>
      <c r="G117" s="220" t="n">
        <v>1.01</v>
      </c>
      <c r="H117" s="220" t="n">
        <v>0.15</v>
      </c>
      <c r="I117" s="220" t="n">
        <v>0.86</v>
      </c>
    </row>
    <row r="118" ht="28" customHeight="1" s="132">
      <c r="A118" s="220" t="inlineStr">
        <is>
          <t>A107</t>
        </is>
      </c>
      <c r="B118" s="220" t="inlineStr">
        <is>
          <t>CI2523326680</t>
        </is>
      </c>
      <c r="C118" s="237" t="n">
        <v>45873</v>
      </c>
      <c r="D118" s="220" t="n">
        <v>88.54000000000001</v>
      </c>
      <c r="E118" s="220" t="n">
        <v>13.28</v>
      </c>
      <c r="F118" s="220" t="n">
        <v>75.26000000000001</v>
      </c>
      <c r="G118" s="220" t="n">
        <v>0.89</v>
      </c>
      <c r="H118" s="220" t="n">
        <v>0.13</v>
      </c>
      <c r="I118" s="220" t="n">
        <v>0.76</v>
      </c>
    </row>
    <row r="119" ht="28" customHeight="1" s="132">
      <c r="A119" s="220" t="inlineStr">
        <is>
          <t>A108</t>
        </is>
      </c>
      <c r="B119" s="220" t="inlineStr">
        <is>
          <t>CI2523340082</t>
        </is>
      </c>
      <c r="C119" s="237" t="n">
        <v>45874</v>
      </c>
      <c r="D119" s="220" t="n">
        <v>90.09999999999999</v>
      </c>
      <c r="E119" s="220" t="n">
        <v>13.51</v>
      </c>
      <c r="F119" s="220" t="n">
        <v>76.59</v>
      </c>
      <c r="G119" s="220" t="n">
        <v>0.9</v>
      </c>
      <c r="H119" s="220" t="n">
        <v>0.14</v>
      </c>
      <c r="I119" s="220" t="n">
        <v>0.76</v>
      </c>
    </row>
    <row r="120" ht="28" customHeight="1" s="132">
      <c r="A120" s="220" t="inlineStr">
        <is>
          <t>A109</t>
        </is>
      </c>
      <c r="B120" s="220" t="inlineStr">
        <is>
          <t>CI2523342931</t>
        </is>
      </c>
      <c r="C120" s="237" t="n">
        <v>45874</v>
      </c>
      <c r="D120" s="220" t="n">
        <v>1592.23</v>
      </c>
      <c r="E120" s="220" t="n">
        <v>238.83</v>
      </c>
      <c r="F120" s="220" t="n">
        <v>1353.4</v>
      </c>
      <c r="G120" s="220" t="n">
        <v>15.92</v>
      </c>
      <c r="H120" s="220" t="n">
        <v>2.39</v>
      </c>
      <c r="I120" s="220" t="n">
        <v>13.53</v>
      </c>
    </row>
    <row r="121" ht="28" customHeight="1" s="132">
      <c r="A121" s="220" t="inlineStr">
        <is>
          <t>A110</t>
        </is>
      </c>
      <c r="B121" s="220" t="inlineStr">
        <is>
          <t>CI2523338405</t>
        </is>
      </c>
      <c r="C121" s="237" t="n">
        <v>45874</v>
      </c>
      <c r="D121" s="220" t="n">
        <v>79</v>
      </c>
      <c r="E121" s="220" t="n">
        <v>11.85</v>
      </c>
      <c r="F121" s="220" t="n">
        <v>67.15000000000001</v>
      </c>
      <c r="G121" s="220" t="n">
        <v>0.79</v>
      </c>
      <c r="H121" s="220" t="n">
        <v>0.12</v>
      </c>
      <c r="I121" s="220" t="n">
        <v>0.67</v>
      </c>
    </row>
    <row r="122" ht="28" customHeight="1" s="132">
      <c r="A122" s="220" t="inlineStr">
        <is>
          <t>A111</t>
        </is>
      </c>
      <c r="B122" s="220" t="inlineStr">
        <is>
          <t>CI2523344853</t>
        </is>
      </c>
      <c r="C122" s="237" t="n">
        <v>45875</v>
      </c>
      <c r="D122" s="220" t="n">
        <v>87.33</v>
      </c>
      <c r="E122" s="220" t="n">
        <v>13.1</v>
      </c>
      <c r="F122" s="220" t="n">
        <v>74.23</v>
      </c>
      <c r="G122" s="220" t="n">
        <v>0.87</v>
      </c>
      <c r="H122" s="220" t="n">
        <v>0.13</v>
      </c>
      <c r="I122" s="220" t="n">
        <v>0.74</v>
      </c>
    </row>
    <row r="123" ht="28" customHeight="1" s="132">
      <c r="A123" s="220" t="inlineStr">
        <is>
          <t>A112</t>
        </is>
      </c>
      <c r="B123" s="220" t="inlineStr">
        <is>
          <t>CI2523345901</t>
        </is>
      </c>
      <c r="C123" s="237" t="n">
        <v>45875</v>
      </c>
      <c r="D123" s="220" t="n">
        <v>126.34</v>
      </c>
      <c r="E123" s="220" t="n">
        <v>18.95</v>
      </c>
      <c r="F123" s="220" t="n">
        <v>107.39</v>
      </c>
      <c r="G123" s="220" t="n">
        <v>1.26</v>
      </c>
      <c r="H123" s="220" t="n">
        <v>0.19</v>
      </c>
      <c r="I123" s="220" t="n">
        <v>1.07</v>
      </c>
    </row>
    <row r="124" ht="28" customHeight="1" s="132">
      <c r="A124" s="220" t="inlineStr">
        <is>
          <t>A113</t>
        </is>
      </c>
      <c r="B124" s="220" t="inlineStr">
        <is>
          <t>CI2523345871</t>
        </is>
      </c>
      <c r="C124" s="237" t="n">
        <v>45875</v>
      </c>
      <c r="D124" s="220" t="n">
        <v>79</v>
      </c>
      <c r="E124" s="220" t="n">
        <v>11.85</v>
      </c>
      <c r="F124" s="220" t="n">
        <v>67.15000000000001</v>
      </c>
      <c r="G124" s="220" t="n">
        <v>0.79</v>
      </c>
      <c r="H124" s="220" t="n">
        <v>0.12</v>
      </c>
      <c r="I124" s="220" t="n">
        <v>0.67</v>
      </c>
    </row>
    <row r="125" ht="28" customHeight="1" s="132">
      <c r="A125" s="220" t="inlineStr">
        <is>
          <t>A114</t>
        </is>
      </c>
      <c r="B125" s="220" t="inlineStr">
        <is>
          <t>CI2523349021</t>
        </is>
      </c>
      <c r="C125" s="237" t="n">
        <v>45875</v>
      </c>
      <c r="D125" s="220" t="n">
        <v>2300.1</v>
      </c>
      <c r="E125" s="220" t="n">
        <v>345.01</v>
      </c>
      <c r="F125" s="220" t="n">
        <v>1955.09</v>
      </c>
      <c r="G125" s="220" t="n">
        <v>23</v>
      </c>
      <c r="H125" s="220" t="n">
        <v>3.45</v>
      </c>
      <c r="I125" s="220" t="n">
        <v>19.55</v>
      </c>
    </row>
    <row r="126" ht="28" customHeight="1" s="132">
      <c r="A126" s="220" t="inlineStr">
        <is>
          <t>A115</t>
        </is>
      </c>
      <c r="B126" s="220" t="inlineStr">
        <is>
          <t>CI2523358186</t>
        </is>
      </c>
      <c r="C126" s="237" t="n">
        <v>45876</v>
      </c>
      <c r="D126" s="220" t="n">
        <v>965.52</v>
      </c>
      <c r="E126" s="220" t="n">
        <v>144.83</v>
      </c>
      <c r="F126" s="220" t="n">
        <v>820.6900000000001</v>
      </c>
      <c r="G126" s="220" t="n">
        <v>9.66</v>
      </c>
      <c r="H126" s="220" t="n">
        <v>1.45</v>
      </c>
      <c r="I126" s="220" t="n">
        <v>8.210000000000001</v>
      </c>
    </row>
    <row r="127" ht="28" customHeight="1" s="132">
      <c r="A127" s="220" t="inlineStr">
        <is>
          <t>A116</t>
        </is>
      </c>
      <c r="B127" s="220" t="inlineStr">
        <is>
          <t>CI2523361122</t>
        </is>
      </c>
      <c r="C127" s="237" t="n">
        <v>45876</v>
      </c>
      <c r="D127" s="220" t="n">
        <v>83.56999999999999</v>
      </c>
      <c r="E127" s="220" t="n">
        <v>12.54</v>
      </c>
      <c r="F127" s="220" t="n">
        <v>71.03</v>
      </c>
      <c r="G127" s="220" t="n">
        <v>0.84</v>
      </c>
      <c r="H127" s="220" t="n">
        <v>0.13</v>
      </c>
      <c r="I127" s="220" t="n">
        <v>0.71</v>
      </c>
    </row>
    <row r="128" ht="28" customHeight="1" s="132">
      <c r="A128" s="220" t="inlineStr">
        <is>
          <t>A117</t>
        </is>
      </c>
      <c r="B128" s="220" t="inlineStr">
        <is>
          <t>CI2523361282</t>
        </is>
      </c>
      <c r="C128" s="237" t="n">
        <v>45876</v>
      </c>
      <c r="D128" s="220" t="n">
        <v>81.06</v>
      </c>
      <c r="E128" s="220" t="n">
        <v>12.16</v>
      </c>
      <c r="F128" s="220" t="n">
        <v>68.90000000000001</v>
      </c>
      <c r="G128" s="220" t="n">
        <v>0.8100000000000001</v>
      </c>
      <c r="H128" s="220" t="n">
        <v>0.12</v>
      </c>
      <c r="I128" s="220" t="n">
        <v>0.6899999999999999</v>
      </c>
    </row>
    <row r="129" ht="28" customHeight="1" s="132">
      <c r="A129" s="220" t="inlineStr">
        <is>
          <t>A118</t>
        </is>
      </c>
      <c r="B129" s="220" t="inlineStr">
        <is>
          <t>CI2523361518</t>
        </is>
      </c>
      <c r="C129" s="237" t="n">
        <v>45876</v>
      </c>
      <c r="D129" s="220" t="n">
        <v>73.42</v>
      </c>
      <c r="E129" s="220" t="n">
        <v>11.01</v>
      </c>
      <c r="F129" s="220" t="n">
        <v>62.41</v>
      </c>
      <c r="G129" s="220" t="n">
        <v>0.73</v>
      </c>
      <c r="H129" s="220" t="n">
        <v>0.11</v>
      </c>
      <c r="I129" s="220" t="n">
        <v>0.62</v>
      </c>
    </row>
    <row r="130" ht="28" customHeight="1" s="132">
      <c r="A130" s="220" t="inlineStr">
        <is>
          <t>A119</t>
        </is>
      </c>
      <c r="B130" s="220" t="inlineStr">
        <is>
          <t>CI2523360754</t>
        </is>
      </c>
      <c r="C130" s="237" t="n">
        <v>45876</v>
      </c>
      <c r="D130" s="220" t="n">
        <v>93.72</v>
      </c>
      <c r="E130" s="220" t="n">
        <v>14.06</v>
      </c>
      <c r="F130" s="220" t="n">
        <v>79.66</v>
      </c>
      <c r="G130" s="220" t="n">
        <v>0.9399999999999999</v>
      </c>
      <c r="H130" s="220" t="n">
        <v>0.14</v>
      </c>
      <c r="I130" s="220" t="n">
        <v>0.8</v>
      </c>
    </row>
    <row r="131" ht="28" customHeight="1" s="132">
      <c r="A131" s="220" t="inlineStr">
        <is>
          <t>A120</t>
        </is>
      </c>
      <c r="B131" s="220" t="inlineStr">
        <is>
          <t>CI2523359762</t>
        </is>
      </c>
      <c r="C131" s="237" t="n">
        <v>45876</v>
      </c>
      <c r="D131" s="220" t="n">
        <v>131.59</v>
      </c>
      <c r="E131" s="220" t="n">
        <v>19.74</v>
      </c>
      <c r="F131" s="220" t="n">
        <v>111.85</v>
      </c>
      <c r="G131" s="220" t="n">
        <v>1.32</v>
      </c>
      <c r="H131" s="220" t="n">
        <v>0.2</v>
      </c>
      <c r="I131" s="220" t="n">
        <v>1.12</v>
      </c>
    </row>
    <row r="132" ht="28" customHeight="1" s="132">
      <c r="A132" s="220" t="inlineStr">
        <is>
          <t>A121</t>
        </is>
      </c>
      <c r="B132" s="220" t="inlineStr">
        <is>
          <t>CI2523372001</t>
        </is>
      </c>
      <c r="C132" s="237" t="n">
        <v>45877</v>
      </c>
      <c r="D132" s="220" t="n">
        <v>81.28</v>
      </c>
      <c r="E132" s="220" t="n">
        <v>12.19</v>
      </c>
      <c r="F132" s="220" t="n">
        <v>69.09</v>
      </c>
      <c r="G132" s="220" t="n">
        <v>0.8100000000000001</v>
      </c>
      <c r="H132" s="220" t="n">
        <v>0.12</v>
      </c>
      <c r="I132" s="220" t="n">
        <v>0.6899999999999999</v>
      </c>
    </row>
    <row r="133" ht="28" customHeight="1" s="132">
      <c r="A133" s="220" t="inlineStr">
        <is>
          <t>A122</t>
        </is>
      </c>
      <c r="B133" s="220" t="inlineStr">
        <is>
          <t>CI2523372174</t>
        </is>
      </c>
      <c r="C133" s="237" t="n">
        <v>45877</v>
      </c>
      <c r="D133" s="220" t="n">
        <v>80.84999999999999</v>
      </c>
      <c r="E133" s="220" t="n">
        <v>12.13</v>
      </c>
      <c r="F133" s="220" t="n">
        <v>68.72</v>
      </c>
      <c r="G133" s="220" t="n">
        <v>0.8100000000000001</v>
      </c>
      <c r="H133" s="220" t="n">
        <v>0.12</v>
      </c>
      <c r="I133" s="220" t="n">
        <v>0.6899999999999999</v>
      </c>
    </row>
    <row r="134" ht="28" customHeight="1" s="132">
      <c r="A134" s="220" t="inlineStr">
        <is>
          <t>A123</t>
        </is>
      </c>
      <c r="B134" s="220" t="inlineStr">
        <is>
          <t>CI2523371182</t>
        </is>
      </c>
      <c r="C134" s="237" t="n">
        <v>45877</v>
      </c>
      <c r="D134" s="220" t="n">
        <v>8953.559999999999</v>
      </c>
      <c r="E134" s="220" t="n">
        <v>1343.03</v>
      </c>
      <c r="F134" s="220" t="n">
        <v>7610.53</v>
      </c>
      <c r="G134" s="220" t="n">
        <v>89.54000000000001</v>
      </c>
      <c r="H134" s="220" t="n">
        <v>13.43</v>
      </c>
      <c r="I134" s="220" t="n">
        <v>76.11</v>
      </c>
    </row>
    <row r="135" ht="28" customHeight="1" s="132">
      <c r="A135" s="220" t="inlineStr">
        <is>
          <t>A124</t>
        </is>
      </c>
      <c r="B135" s="220" t="inlineStr">
        <is>
          <t>CI2523371380</t>
        </is>
      </c>
      <c r="C135" s="237" t="n">
        <v>45877</v>
      </c>
      <c r="D135" s="220" t="n">
        <v>8000</v>
      </c>
      <c r="E135" s="220" t="n">
        <v>1200</v>
      </c>
      <c r="F135" s="220" t="n">
        <v>6800</v>
      </c>
      <c r="G135" s="220" t="n">
        <v>80</v>
      </c>
      <c r="H135" s="220" t="n">
        <v>12</v>
      </c>
      <c r="I135" s="220" t="n">
        <v>68</v>
      </c>
    </row>
    <row r="136" ht="28" customHeight="1" s="132">
      <c r="A136" s="220" t="inlineStr">
        <is>
          <t>A125</t>
        </is>
      </c>
      <c r="B136" s="220" t="inlineStr">
        <is>
          <t>CI2523371908</t>
        </is>
      </c>
      <c r="C136" s="237" t="n">
        <v>45877</v>
      </c>
      <c r="D136" s="220" t="n">
        <v>59.5</v>
      </c>
      <c r="E136" s="220" t="n">
        <v>8.92</v>
      </c>
      <c r="F136" s="220" t="n">
        <v>50.58</v>
      </c>
      <c r="G136" s="220" t="n">
        <v>0.59</v>
      </c>
      <c r="H136" s="220" t="n">
        <v>0.09</v>
      </c>
      <c r="I136" s="220" t="n">
        <v>0.5</v>
      </c>
    </row>
    <row r="137" ht="28" customHeight="1" s="132">
      <c r="A137" s="220" t="inlineStr">
        <is>
          <t>A126</t>
        </is>
      </c>
      <c r="B137" s="220" t="inlineStr">
        <is>
          <t>CI2523365363</t>
        </is>
      </c>
      <c r="C137" s="237" t="n">
        <v>45877</v>
      </c>
      <c r="D137" s="220" t="n">
        <v>80.75</v>
      </c>
      <c r="E137" s="220" t="n">
        <v>12.11</v>
      </c>
      <c r="F137" s="220" t="n">
        <v>68.64</v>
      </c>
      <c r="G137" s="220" t="n">
        <v>0.8100000000000001</v>
      </c>
      <c r="H137" s="220" t="n">
        <v>0.12</v>
      </c>
      <c r="I137" s="220" t="n">
        <v>0.6899999999999999</v>
      </c>
    </row>
    <row r="138" ht="28" customHeight="1" s="132">
      <c r="A138" s="220" t="inlineStr">
        <is>
          <t>A127</t>
        </is>
      </c>
      <c r="B138" s="220" t="inlineStr">
        <is>
          <t>CI2523372458</t>
        </is>
      </c>
      <c r="C138" s="237" t="n">
        <v>45877</v>
      </c>
      <c r="D138" s="220" t="n">
        <v>81.23</v>
      </c>
      <c r="E138" s="220" t="n">
        <v>12.18</v>
      </c>
      <c r="F138" s="220" t="n">
        <v>69.05</v>
      </c>
      <c r="G138" s="220" t="n">
        <v>0.8100000000000001</v>
      </c>
      <c r="H138" s="220" t="n">
        <v>0.12</v>
      </c>
      <c r="I138" s="220" t="n">
        <v>0.6899999999999999</v>
      </c>
    </row>
    <row r="139" ht="28" customHeight="1" s="132">
      <c r="A139" s="220" t="inlineStr">
        <is>
          <t>A128</t>
        </is>
      </c>
      <c r="B139" s="220" t="inlineStr">
        <is>
          <t>CI2523374344</t>
        </is>
      </c>
      <c r="C139" s="237" t="n">
        <v>45877</v>
      </c>
      <c r="D139" s="220" t="n">
        <v>221.3</v>
      </c>
      <c r="E139" s="220" t="n">
        <v>33.2</v>
      </c>
      <c r="F139" s="220" t="n">
        <v>188.1</v>
      </c>
      <c r="G139" s="220" t="n">
        <v>2.21</v>
      </c>
      <c r="H139" s="220" t="n">
        <v>0.33</v>
      </c>
      <c r="I139" s="220" t="n">
        <v>1.88</v>
      </c>
    </row>
    <row r="140" ht="28" customHeight="1" s="132">
      <c r="A140" s="220" t="inlineStr">
        <is>
          <t>A129</t>
        </is>
      </c>
      <c r="B140" s="220" t="inlineStr">
        <is>
          <t>CI2523382553</t>
        </is>
      </c>
      <c r="C140" s="237" t="n">
        <v>45880</v>
      </c>
      <c r="D140" s="220" t="n">
        <v>270.43</v>
      </c>
      <c r="E140" s="220" t="n">
        <v>40.56</v>
      </c>
      <c r="F140" s="220" t="n">
        <v>229.87</v>
      </c>
      <c r="G140" s="220" t="n">
        <v>2.7</v>
      </c>
      <c r="H140" s="220" t="n">
        <v>0.41</v>
      </c>
      <c r="I140" s="220" t="n">
        <v>2.29</v>
      </c>
    </row>
    <row r="141" ht="28" customHeight="1" s="132">
      <c r="A141" s="220" t="inlineStr">
        <is>
          <t>A130</t>
        </is>
      </c>
      <c r="B141" s="220" t="inlineStr">
        <is>
          <t>CI2523379360</t>
        </is>
      </c>
      <c r="C141" s="237" t="n">
        <v>45880</v>
      </c>
      <c r="D141" s="220" t="n">
        <v>3266.41</v>
      </c>
      <c r="E141" s="220" t="n">
        <v>489.96</v>
      </c>
      <c r="F141" s="220" t="n">
        <v>2776.45</v>
      </c>
      <c r="G141" s="220" t="n">
        <v>32.66</v>
      </c>
      <c r="H141" s="220" t="n">
        <v>4.9</v>
      </c>
      <c r="I141" s="220" t="n">
        <v>27.76</v>
      </c>
    </row>
    <row r="142" ht="28" customHeight="1" s="132">
      <c r="A142" s="220" t="inlineStr">
        <is>
          <t>A131</t>
        </is>
      </c>
      <c r="B142" s="220" t="inlineStr">
        <is>
          <t>CI2523381948</t>
        </is>
      </c>
      <c r="C142" s="237" t="n">
        <v>45880</v>
      </c>
      <c r="D142" s="220" t="n">
        <v>125.44</v>
      </c>
      <c r="E142" s="220" t="n">
        <v>18.82</v>
      </c>
      <c r="F142" s="220" t="n">
        <v>106.62</v>
      </c>
      <c r="G142" s="220" t="n">
        <v>1.25</v>
      </c>
      <c r="H142" s="220" t="n">
        <v>0.19</v>
      </c>
      <c r="I142" s="220" t="n">
        <v>1.06</v>
      </c>
    </row>
    <row r="143" ht="28" customHeight="1" s="132">
      <c r="A143" s="220" t="inlineStr">
        <is>
          <t>A132</t>
        </is>
      </c>
      <c r="B143" s="220" t="inlineStr">
        <is>
          <t>CI2523403461</t>
        </is>
      </c>
      <c r="C143" s="237" t="n">
        <v>45882</v>
      </c>
      <c r="D143" s="220" t="n">
        <v>1087.69</v>
      </c>
      <c r="E143" s="220" t="n">
        <v>163.15</v>
      </c>
      <c r="F143" s="220" t="n">
        <v>924.54</v>
      </c>
      <c r="G143" s="220" t="n">
        <v>10.88</v>
      </c>
      <c r="H143" s="220" t="n">
        <v>1.63</v>
      </c>
      <c r="I143" s="220" t="n">
        <v>9.25</v>
      </c>
    </row>
    <row r="144" ht="28" customHeight="1" s="132">
      <c r="A144" s="220" t="inlineStr">
        <is>
          <t>A133</t>
        </is>
      </c>
      <c r="B144" s="220" t="inlineStr">
        <is>
          <t>CI2523407449</t>
        </is>
      </c>
      <c r="C144" s="237" t="n">
        <v>45882</v>
      </c>
      <c r="D144" s="220" t="n">
        <v>100.1</v>
      </c>
      <c r="E144" s="220" t="n">
        <v>15.01</v>
      </c>
      <c r="F144" s="220" t="n">
        <v>85.09</v>
      </c>
      <c r="G144" s="220" t="n">
        <v>1</v>
      </c>
      <c r="H144" s="220" t="n">
        <v>0.15</v>
      </c>
      <c r="I144" s="220" t="n">
        <v>0.85</v>
      </c>
    </row>
    <row r="145" ht="28" customHeight="1" s="132">
      <c r="A145" s="220" t="inlineStr">
        <is>
          <t>A134</t>
        </is>
      </c>
      <c r="B145" s="220" t="inlineStr">
        <is>
          <t>CI2523414534</t>
        </is>
      </c>
      <c r="C145" s="237" t="n">
        <v>45883</v>
      </c>
      <c r="D145" s="220" t="n">
        <v>92.62</v>
      </c>
      <c r="E145" s="220" t="n">
        <v>13.89</v>
      </c>
      <c r="F145" s="220" t="n">
        <v>78.73</v>
      </c>
      <c r="G145" s="220" t="n">
        <v>0.93</v>
      </c>
      <c r="H145" s="220" t="n">
        <v>0.14</v>
      </c>
      <c r="I145" s="220" t="n">
        <v>0.79</v>
      </c>
    </row>
    <row r="146" ht="28" customHeight="1" s="132">
      <c r="A146" s="220" t="inlineStr">
        <is>
          <t>A135</t>
        </is>
      </c>
      <c r="B146" s="220" t="inlineStr">
        <is>
          <t>CI2523409235</t>
        </is>
      </c>
      <c r="C146" s="237" t="n">
        <v>45883</v>
      </c>
      <c r="D146" s="220" t="n">
        <v>161.19</v>
      </c>
      <c r="E146" s="220" t="n">
        <v>24.18</v>
      </c>
      <c r="F146" s="220" t="n">
        <v>137.01</v>
      </c>
      <c r="G146" s="220" t="n">
        <v>1.61</v>
      </c>
      <c r="H146" s="220" t="n">
        <v>0.24</v>
      </c>
      <c r="I146" s="220" t="n">
        <v>1.37</v>
      </c>
    </row>
    <row r="147" ht="28" customHeight="1" s="132">
      <c r="A147" s="220" t="inlineStr">
        <is>
          <t>A136</t>
        </is>
      </c>
      <c r="B147" s="220" t="inlineStr">
        <is>
          <t>CI2523423169</t>
        </is>
      </c>
      <c r="C147" s="237" t="n">
        <v>45884</v>
      </c>
      <c r="D147" s="220" t="n">
        <v>80.75</v>
      </c>
      <c r="E147" s="220" t="n">
        <v>12.11</v>
      </c>
      <c r="F147" s="220" t="n">
        <v>68.64</v>
      </c>
      <c r="G147" s="220" t="n">
        <v>0.8100000000000001</v>
      </c>
      <c r="H147" s="220" t="n">
        <v>0.12</v>
      </c>
      <c r="I147" s="220" t="n">
        <v>0.6899999999999999</v>
      </c>
    </row>
    <row r="148" ht="28" customHeight="1" s="132">
      <c r="A148" s="220" t="inlineStr">
        <is>
          <t>A137</t>
        </is>
      </c>
      <c r="B148" s="220" t="inlineStr">
        <is>
          <t>CI2523446814</t>
        </is>
      </c>
      <c r="C148" s="237" t="n">
        <v>45888</v>
      </c>
      <c r="D148" s="220" t="n">
        <v>82.25</v>
      </c>
      <c r="E148" s="220" t="n">
        <v>12.34</v>
      </c>
      <c r="F148" s="220" t="n">
        <v>69.91</v>
      </c>
      <c r="G148" s="220" t="n">
        <v>0.82</v>
      </c>
      <c r="H148" s="220" t="n">
        <v>0.12</v>
      </c>
      <c r="I148" s="220" t="n">
        <v>0.7</v>
      </c>
    </row>
    <row r="149" ht="28" customHeight="1" s="132">
      <c r="A149" s="220" t="inlineStr">
        <is>
          <t>A138</t>
        </is>
      </c>
      <c r="B149" s="220" t="inlineStr">
        <is>
          <t>CI2523454591</t>
        </is>
      </c>
      <c r="C149" s="237" t="n">
        <v>45889</v>
      </c>
      <c r="D149" s="220" t="n">
        <v>97.26000000000001</v>
      </c>
      <c r="E149" s="220" t="n">
        <v>14.59</v>
      </c>
      <c r="F149" s="220" t="n">
        <v>82.67</v>
      </c>
      <c r="G149" s="220" t="n">
        <v>0.97</v>
      </c>
      <c r="H149" s="220" t="n">
        <v>0.15</v>
      </c>
      <c r="I149" s="220" t="n">
        <v>0.82</v>
      </c>
    </row>
    <row r="150" ht="28" customHeight="1" s="132">
      <c r="A150" s="220" t="inlineStr">
        <is>
          <t>A139</t>
        </is>
      </c>
      <c r="B150" s="220" t="inlineStr">
        <is>
          <t>CI2523450184</t>
        </is>
      </c>
      <c r="C150" s="237" t="n">
        <v>45889</v>
      </c>
      <c r="D150" s="220" t="n">
        <v>269.58</v>
      </c>
      <c r="E150" s="220" t="n">
        <v>40.44</v>
      </c>
      <c r="F150" s="220" t="n">
        <v>229.14</v>
      </c>
      <c r="G150" s="220" t="n">
        <v>2.7</v>
      </c>
      <c r="H150" s="220" t="n">
        <v>0.4</v>
      </c>
      <c r="I150" s="220" t="n">
        <v>2.3</v>
      </c>
    </row>
    <row r="151" ht="28" customHeight="1" s="132">
      <c r="A151" s="220" t="inlineStr">
        <is>
          <t>A140</t>
        </is>
      </c>
      <c r="B151" s="220" t="inlineStr">
        <is>
          <t>CI2523449282</t>
        </is>
      </c>
      <c r="C151" s="237" t="n">
        <v>45889</v>
      </c>
      <c r="D151" s="220" t="n">
        <v>215.96</v>
      </c>
      <c r="E151" s="220" t="n">
        <v>32.39</v>
      </c>
      <c r="F151" s="220" t="n">
        <v>183.57</v>
      </c>
      <c r="G151" s="220" t="n">
        <v>2.16</v>
      </c>
      <c r="H151" s="220" t="n">
        <v>0.32</v>
      </c>
      <c r="I151" s="220" t="n">
        <v>1.84</v>
      </c>
    </row>
    <row r="152" ht="28" customHeight="1" s="132">
      <c r="A152" s="220" t="inlineStr">
        <is>
          <t>A141</t>
        </is>
      </c>
      <c r="B152" s="220" t="inlineStr">
        <is>
          <t>CI2523453706</t>
        </is>
      </c>
      <c r="C152" s="237" t="n">
        <v>45889</v>
      </c>
      <c r="D152" s="220" t="n">
        <v>4190.31</v>
      </c>
      <c r="E152" s="220" t="n">
        <v>628.55</v>
      </c>
      <c r="F152" s="220" t="n">
        <v>3561.76</v>
      </c>
      <c r="G152" s="220" t="n">
        <v>41.9</v>
      </c>
      <c r="H152" s="220" t="n">
        <v>6.29</v>
      </c>
      <c r="I152" s="220" t="n">
        <v>35.61</v>
      </c>
    </row>
    <row r="153" ht="28" customHeight="1" s="132">
      <c r="A153" s="220" t="inlineStr">
        <is>
          <t>A142</t>
        </is>
      </c>
      <c r="B153" s="220" t="inlineStr">
        <is>
          <t>CI2523452102</t>
        </is>
      </c>
      <c r="C153" s="237" t="n">
        <v>45889</v>
      </c>
      <c r="D153" s="220" t="n">
        <v>209.27</v>
      </c>
      <c r="E153" s="220" t="n">
        <v>31.39</v>
      </c>
      <c r="F153" s="220" t="n">
        <v>177.88</v>
      </c>
      <c r="G153" s="220" t="n">
        <v>2.09</v>
      </c>
      <c r="H153" s="220" t="n">
        <v>0.31</v>
      </c>
      <c r="I153" s="220" t="n">
        <v>1.78</v>
      </c>
    </row>
    <row r="154" ht="28" customHeight="1" s="132">
      <c r="A154" s="220" t="inlineStr">
        <is>
          <t>A143</t>
        </is>
      </c>
      <c r="B154" s="220" t="inlineStr">
        <is>
          <t>CI2523448524</t>
        </is>
      </c>
      <c r="C154" s="237" t="n">
        <v>45889</v>
      </c>
      <c r="D154" s="220" t="n">
        <v>215.96</v>
      </c>
      <c r="E154" s="220" t="n">
        <v>32.39</v>
      </c>
      <c r="F154" s="220" t="n">
        <v>183.57</v>
      </c>
      <c r="G154" s="220" t="n">
        <v>2.16</v>
      </c>
      <c r="H154" s="220" t="n">
        <v>0.32</v>
      </c>
      <c r="I154" s="220" t="n">
        <v>1.84</v>
      </c>
    </row>
    <row r="155" ht="28" customHeight="1" s="132">
      <c r="A155" s="220" t="inlineStr">
        <is>
          <t>A144</t>
        </is>
      </c>
      <c r="B155" s="220" t="inlineStr">
        <is>
          <t>CI2523451923</t>
        </is>
      </c>
      <c r="C155" s="237" t="n">
        <v>45889</v>
      </c>
      <c r="D155" s="220" t="n">
        <v>215.96</v>
      </c>
      <c r="E155" s="220" t="n">
        <v>32.39</v>
      </c>
      <c r="F155" s="220" t="n">
        <v>183.57</v>
      </c>
      <c r="G155" s="220" t="n">
        <v>2.16</v>
      </c>
      <c r="H155" s="220" t="n">
        <v>0.32</v>
      </c>
      <c r="I155" s="220" t="n">
        <v>1.84</v>
      </c>
    </row>
    <row r="156" ht="28" customHeight="1" s="132">
      <c r="A156" s="220" t="inlineStr">
        <is>
          <t>A145</t>
        </is>
      </c>
      <c r="B156" s="220" t="inlineStr">
        <is>
          <t>CI2523448306</t>
        </is>
      </c>
      <c r="C156" s="237" t="n">
        <v>45889</v>
      </c>
      <c r="D156" s="220" t="n">
        <v>215.96</v>
      </c>
      <c r="E156" s="220" t="n">
        <v>32.39</v>
      </c>
      <c r="F156" s="220" t="n">
        <v>183.57</v>
      </c>
      <c r="G156" s="220" t="n">
        <v>2.16</v>
      </c>
      <c r="H156" s="220" t="n">
        <v>0.32</v>
      </c>
      <c r="I156" s="220" t="n">
        <v>1.84</v>
      </c>
    </row>
    <row r="157" ht="28" customHeight="1" s="132">
      <c r="A157" s="220" t="inlineStr">
        <is>
          <t>A146</t>
        </is>
      </c>
      <c r="B157" s="220" t="inlineStr">
        <is>
          <t>CI2523458600</t>
        </is>
      </c>
      <c r="C157" s="237" t="n">
        <v>45890</v>
      </c>
      <c r="D157" s="220" t="n">
        <v>1241</v>
      </c>
      <c r="E157" s="220" t="n">
        <v>186.15</v>
      </c>
      <c r="F157" s="220" t="n">
        <v>1054.85</v>
      </c>
      <c r="G157" s="220" t="n">
        <v>12.41</v>
      </c>
      <c r="H157" s="220" t="n">
        <v>1.86</v>
      </c>
      <c r="I157" s="220" t="n">
        <v>10.55</v>
      </c>
    </row>
    <row r="158" ht="28" customHeight="1" s="132">
      <c r="A158" s="220" t="inlineStr">
        <is>
          <t>A147</t>
        </is>
      </c>
      <c r="B158" s="220" t="inlineStr">
        <is>
          <t>CI2523458827</t>
        </is>
      </c>
      <c r="C158" s="237" t="n">
        <v>45890</v>
      </c>
      <c r="D158" s="220" t="n">
        <v>308.83</v>
      </c>
      <c r="E158" s="220" t="n">
        <v>46.32</v>
      </c>
      <c r="F158" s="220" t="n">
        <v>262.51</v>
      </c>
      <c r="G158" s="220" t="n">
        <v>3.09</v>
      </c>
      <c r="H158" s="220" t="n">
        <v>0.46</v>
      </c>
      <c r="I158" s="220" t="n">
        <v>2.63</v>
      </c>
    </row>
    <row r="159" ht="28" customHeight="1" s="132">
      <c r="A159" s="220" t="inlineStr">
        <is>
          <t>A148</t>
        </is>
      </c>
      <c r="B159" s="220" t="inlineStr">
        <is>
          <t>CI2523465267</t>
        </is>
      </c>
      <c r="C159" s="237" t="n">
        <v>45890</v>
      </c>
      <c r="D159" s="220" t="n">
        <v>86.16</v>
      </c>
      <c r="E159" s="220" t="n">
        <v>12.92</v>
      </c>
      <c r="F159" s="220" t="n">
        <v>73.23999999999999</v>
      </c>
      <c r="G159" s="220" t="n">
        <v>0.86</v>
      </c>
      <c r="H159" s="220" t="n">
        <v>0.13</v>
      </c>
      <c r="I159" s="220" t="n">
        <v>0.73</v>
      </c>
    </row>
    <row r="160" ht="28" customHeight="1" s="132">
      <c r="A160" s="220" t="inlineStr">
        <is>
          <t>A149</t>
        </is>
      </c>
      <c r="B160" s="220" t="inlineStr">
        <is>
          <t>CI2523466902</t>
        </is>
      </c>
      <c r="C160" s="237" t="n">
        <v>45891</v>
      </c>
      <c r="D160" s="220" t="n">
        <v>1706.5</v>
      </c>
      <c r="E160" s="220" t="n">
        <v>255.97</v>
      </c>
      <c r="F160" s="220" t="n">
        <v>1450.53</v>
      </c>
      <c r="G160" s="220" t="n">
        <v>17.07</v>
      </c>
      <c r="H160" s="220" t="n">
        <v>2.56</v>
      </c>
      <c r="I160" s="220" t="n">
        <v>14.51</v>
      </c>
    </row>
    <row r="161" ht="28" customHeight="1" s="132">
      <c r="A161" s="220" t="inlineStr">
        <is>
          <t>A150</t>
        </is>
      </c>
      <c r="B161" s="220" t="inlineStr">
        <is>
          <t>CI2523472694</t>
        </is>
      </c>
      <c r="C161" s="237" t="n">
        <v>45891</v>
      </c>
      <c r="D161" s="220" t="n">
        <v>4903.14</v>
      </c>
      <c r="E161" s="220" t="n">
        <v>0</v>
      </c>
      <c r="F161" s="220" t="n">
        <v>4903.14</v>
      </c>
      <c r="G161" s="220" t="n">
        <v>49.03</v>
      </c>
      <c r="H161" s="220" t="n">
        <v>0</v>
      </c>
      <c r="I161" s="220" t="n">
        <v>49.03</v>
      </c>
    </row>
    <row r="162" ht="28" customHeight="1" s="132">
      <c r="A162" s="220" t="inlineStr">
        <is>
          <t>A151</t>
        </is>
      </c>
      <c r="B162" s="220" t="inlineStr">
        <is>
          <t>CI2523485257</t>
        </is>
      </c>
      <c r="C162" s="237" t="n">
        <v>45894</v>
      </c>
      <c r="D162" s="220" t="n">
        <v>59.69</v>
      </c>
      <c r="E162" s="220" t="n">
        <v>8.949999999999999</v>
      </c>
      <c r="F162" s="220" t="n">
        <v>50.74</v>
      </c>
      <c r="G162" s="220" t="n">
        <v>0.6</v>
      </c>
      <c r="H162" s="220" t="n">
        <v>0.09</v>
      </c>
      <c r="I162" s="220" t="n">
        <v>0.51</v>
      </c>
    </row>
    <row r="163" ht="28" customHeight="1" s="132">
      <c r="A163" s="220" t="inlineStr">
        <is>
          <t>A152</t>
        </is>
      </c>
      <c r="B163" s="220" t="inlineStr">
        <is>
          <t>CI2523489669</t>
        </is>
      </c>
      <c r="C163" s="237" t="n">
        <v>45895</v>
      </c>
      <c r="D163" s="220" t="n">
        <v>327.11</v>
      </c>
      <c r="E163" s="220" t="n">
        <v>49.07</v>
      </c>
      <c r="F163" s="220" t="n">
        <v>278.04</v>
      </c>
      <c r="G163" s="220" t="n">
        <v>3.27</v>
      </c>
      <c r="H163" s="220" t="n">
        <v>0.49</v>
      </c>
      <c r="I163" s="220" t="n">
        <v>2.78</v>
      </c>
    </row>
    <row r="164" ht="28" customHeight="1" s="132">
      <c r="A164" s="220" t="inlineStr">
        <is>
          <t>A153</t>
        </is>
      </c>
      <c r="B164" s="220" t="inlineStr">
        <is>
          <t>CI2523490185</t>
        </is>
      </c>
      <c r="C164" s="237" t="n">
        <v>45895</v>
      </c>
      <c r="D164" s="220" t="n">
        <v>350.29</v>
      </c>
      <c r="E164" s="220" t="n">
        <v>52.54</v>
      </c>
      <c r="F164" s="220" t="n">
        <v>297.75</v>
      </c>
      <c r="G164" s="220" t="n">
        <v>3.5</v>
      </c>
      <c r="H164" s="220" t="n">
        <v>0.53</v>
      </c>
      <c r="I164" s="220" t="n">
        <v>2.97</v>
      </c>
    </row>
    <row r="165" ht="28" customHeight="1" s="132">
      <c r="A165" s="220" t="inlineStr">
        <is>
          <t>A154</t>
        </is>
      </c>
      <c r="B165" s="220" t="inlineStr">
        <is>
          <t>CI2523489894</t>
        </is>
      </c>
      <c r="C165" s="237" t="n">
        <v>45895</v>
      </c>
      <c r="D165" s="220" t="n">
        <v>258.16</v>
      </c>
      <c r="E165" s="220" t="n">
        <v>38.72</v>
      </c>
      <c r="F165" s="220" t="n">
        <v>219.44</v>
      </c>
      <c r="G165" s="220" t="n">
        <v>2.58</v>
      </c>
      <c r="H165" s="220" t="n">
        <v>0.39</v>
      </c>
      <c r="I165" s="220" t="n">
        <v>2.19</v>
      </c>
    </row>
    <row r="166" ht="28" customHeight="1" s="132">
      <c r="A166" s="220" t="inlineStr">
        <is>
          <t>A155</t>
        </is>
      </c>
      <c r="B166" s="220" t="inlineStr">
        <is>
          <t>CI2523490849</t>
        </is>
      </c>
      <c r="C166" s="237" t="n">
        <v>45895</v>
      </c>
      <c r="D166" s="220" t="n">
        <v>262.48</v>
      </c>
      <c r="E166" s="220" t="n">
        <v>39.37</v>
      </c>
      <c r="F166" s="220" t="n">
        <v>223.11</v>
      </c>
      <c r="G166" s="220" t="n">
        <v>2.62</v>
      </c>
      <c r="H166" s="220" t="n">
        <v>0.39</v>
      </c>
      <c r="I166" s="220" t="n">
        <v>2.23</v>
      </c>
    </row>
    <row r="167" ht="28" customHeight="1" s="132">
      <c r="A167" s="220" t="inlineStr">
        <is>
          <t>A156</t>
        </is>
      </c>
      <c r="B167" s="220" t="inlineStr">
        <is>
          <t>CI2523499434</t>
        </is>
      </c>
      <c r="C167" s="237" t="n">
        <v>45896</v>
      </c>
      <c r="D167" s="220" t="n">
        <v>1059.69</v>
      </c>
      <c r="E167" s="220" t="n">
        <v>158.95</v>
      </c>
      <c r="F167" s="220" t="n">
        <v>900.74</v>
      </c>
      <c r="G167" s="220" t="n">
        <v>10.6</v>
      </c>
      <c r="H167" s="220" t="n">
        <v>1.59</v>
      </c>
      <c r="I167" s="220" t="n">
        <v>9.01</v>
      </c>
    </row>
    <row r="168" ht="28" customHeight="1" s="132">
      <c r="A168" s="220" t="inlineStr">
        <is>
          <t>A157</t>
        </is>
      </c>
      <c r="B168" s="220" t="inlineStr">
        <is>
          <t>CI2523511891</t>
        </is>
      </c>
      <c r="C168" s="237" t="n">
        <v>45897</v>
      </c>
      <c r="D168" s="220" t="n">
        <v>368.22</v>
      </c>
      <c r="E168" s="220" t="n">
        <v>55.23</v>
      </c>
      <c r="F168" s="220" t="n">
        <v>312.99</v>
      </c>
      <c r="G168" s="220" t="n">
        <v>3.68</v>
      </c>
      <c r="H168" s="220" t="n">
        <v>0.55</v>
      </c>
      <c r="I168" s="220" t="n">
        <v>3.13</v>
      </c>
    </row>
    <row r="169" ht="28" customHeight="1" s="132">
      <c r="A169" s="220" t="inlineStr">
        <is>
          <t>A158</t>
        </is>
      </c>
      <c r="B169" s="220" t="inlineStr">
        <is>
          <t>CI2523515295</t>
        </is>
      </c>
      <c r="C169" s="237" t="n">
        <v>45897</v>
      </c>
      <c r="D169" s="220" t="n">
        <v>1059.17</v>
      </c>
      <c r="E169" s="220" t="n">
        <v>158.88</v>
      </c>
      <c r="F169" s="220" t="n">
        <v>900.29</v>
      </c>
      <c r="G169" s="220" t="n">
        <v>10.59</v>
      </c>
      <c r="H169" s="220" t="n">
        <v>1.59</v>
      </c>
      <c r="I169" s="220" t="n">
        <v>9</v>
      </c>
    </row>
    <row r="170" ht="28" customHeight="1" s="132">
      <c r="A170" s="220" t="inlineStr">
        <is>
          <t>A159</t>
        </is>
      </c>
      <c r="B170" s="220" t="inlineStr">
        <is>
          <t>CI2523514697</t>
        </is>
      </c>
      <c r="C170" s="237" t="n">
        <v>45898</v>
      </c>
      <c r="D170" s="220" t="n">
        <v>135.29</v>
      </c>
      <c r="E170" s="220" t="n">
        <v>20.29</v>
      </c>
      <c r="F170" s="220" t="n">
        <v>115</v>
      </c>
      <c r="G170" s="220" t="n">
        <v>1.35</v>
      </c>
      <c r="H170" s="220" t="n">
        <v>0.2</v>
      </c>
      <c r="I170" s="220" t="n">
        <v>1.15</v>
      </c>
    </row>
    <row r="171" ht="28" customHeight="1" s="132">
      <c r="A171" s="220" t="inlineStr">
        <is>
          <t>A160</t>
        </is>
      </c>
      <c r="B171" s="220" t="inlineStr">
        <is>
          <t>CI2523533363</t>
        </is>
      </c>
      <c r="C171" s="237" t="n">
        <v>45901</v>
      </c>
      <c r="D171" s="220" t="n">
        <v>346.04</v>
      </c>
      <c r="E171" s="220" t="n">
        <v>51.91</v>
      </c>
      <c r="F171" s="220" t="n">
        <v>294.13</v>
      </c>
      <c r="G171" s="220" t="n">
        <v>3.46</v>
      </c>
      <c r="H171" s="220" t="n">
        <v>0.52</v>
      </c>
      <c r="I171" s="220" t="n">
        <v>2.94</v>
      </c>
    </row>
    <row r="172" ht="28" customHeight="1" s="132">
      <c r="A172" s="220" t="inlineStr">
        <is>
          <t>A161</t>
        </is>
      </c>
      <c r="B172" s="220" t="inlineStr">
        <is>
          <t>CI2523536712</t>
        </is>
      </c>
      <c r="C172" s="237" t="n">
        <v>45901</v>
      </c>
      <c r="D172" s="220" t="n">
        <v>160.29</v>
      </c>
      <c r="E172" s="220" t="n">
        <v>24.04</v>
      </c>
      <c r="F172" s="220" t="n">
        <v>136.25</v>
      </c>
      <c r="G172" s="220" t="n">
        <v>1.6</v>
      </c>
      <c r="H172" s="220" t="n">
        <v>0.24</v>
      </c>
      <c r="I172" s="220" t="n">
        <v>1.36</v>
      </c>
    </row>
    <row r="173" ht="28" customHeight="1" s="132">
      <c r="A173" s="220" t="inlineStr">
        <is>
          <t>A162</t>
        </is>
      </c>
      <c r="B173" s="220" t="inlineStr">
        <is>
          <t>CI2523547887</t>
        </is>
      </c>
      <c r="C173" s="237" t="n">
        <v>45902</v>
      </c>
      <c r="D173" s="220" t="n">
        <v>89.45999999999999</v>
      </c>
      <c r="E173" s="220" t="n">
        <v>13.42</v>
      </c>
      <c r="F173" s="220" t="n">
        <v>76.04000000000001</v>
      </c>
      <c r="G173" s="220" t="n">
        <v>0.89</v>
      </c>
      <c r="H173" s="220" t="n">
        <v>0.13</v>
      </c>
      <c r="I173" s="220" t="n">
        <v>0.76</v>
      </c>
    </row>
    <row r="174" ht="28" customHeight="1" s="132">
      <c r="A174" s="220" t="inlineStr">
        <is>
          <t>A163</t>
        </is>
      </c>
      <c r="B174" s="220" t="inlineStr">
        <is>
          <t>CI2523553144</t>
        </is>
      </c>
      <c r="C174" s="237" t="n">
        <v>45903</v>
      </c>
      <c r="D174" s="220" t="n">
        <v>117.74</v>
      </c>
      <c r="E174" s="220" t="n">
        <v>17.66</v>
      </c>
      <c r="F174" s="220" t="n">
        <v>100.08</v>
      </c>
      <c r="G174" s="220" t="n">
        <v>1.18</v>
      </c>
      <c r="H174" s="220" t="n">
        <v>0.18</v>
      </c>
      <c r="I174" s="220" t="n">
        <v>1</v>
      </c>
    </row>
    <row r="175" ht="28" customHeight="1" s="132">
      <c r="A175" s="220" t="inlineStr">
        <is>
          <t>A164</t>
        </is>
      </c>
      <c r="B175" s="220" t="inlineStr">
        <is>
          <t>CI2523571910</t>
        </is>
      </c>
      <c r="C175" s="237" t="n">
        <v>45904</v>
      </c>
      <c r="D175" s="220" t="n">
        <v>319.31</v>
      </c>
      <c r="E175" s="220" t="n">
        <v>47.9</v>
      </c>
      <c r="F175" s="220" t="n">
        <v>271.41</v>
      </c>
      <c r="G175" s="220" t="n">
        <v>3.19</v>
      </c>
      <c r="H175" s="220" t="n">
        <v>0.48</v>
      </c>
      <c r="I175" s="220" t="n">
        <v>2.71</v>
      </c>
    </row>
    <row r="176" ht="28" customHeight="1" s="132">
      <c r="A176" s="220" t="inlineStr">
        <is>
          <t>A165</t>
        </is>
      </c>
      <c r="B176" s="220" t="inlineStr">
        <is>
          <t>CI2523598012</t>
        </is>
      </c>
      <c r="C176" s="237" t="n">
        <v>45908</v>
      </c>
      <c r="D176" s="220" t="n">
        <v>258.64</v>
      </c>
      <c r="E176" s="220" t="n">
        <v>38.8</v>
      </c>
      <c r="F176" s="220" t="n">
        <v>219.84</v>
      </c>
      <c r="G176" s="220" t="n">
        <v>2.59</v>
      </c>
      <c r="H176" s="220" t="n">
        <v>0.39</v>
      </c>
      <c r="I176" s="220" t="n">
        <v>2.2</v>
      </c>
    </row>
    <row r="177" ht="28" customHeight="1" s="132">
      <c r="A177" s="220" t="inlineStr">
        <is>
          <t>A166</t>
        </is>
      </c>
      <c r="B177" s="220" t="inlineStr">
        <is>
          <t>CI2523601690</t>
        </is>
      </c>
      <c r="C177" s="237" t="n">
        <v>45909</v>
      </c>
      <c r="D177" s="220" t="n">
        <v>192.51</v>
      </c>
      <c r="E177" s="220" t="n">
        <v>28.88</v>
      </c>
      <c r="F177" s="220" t="n">
        <v>163.63</v>
      </c>
      <c r="G177" s="220" t="n">
        <v>1.93</v>
      </c>
      <c r="H177" s="220" t="n">
        <v>0.29</v>
      </c>
      <c r="I177" s="220" t="n">
        <v>1.64</v>
      </c>
    </row>
    <row r="178" ht="28" customHeight="1" s="132">
      <c r="A178" s="220" t="inlineStr">
        <is>
          <t>A167</t>
        </is>
      </c>
      <c r="B178" s="220" t="inlineStr">
        <is>
          <t>CI2523601397</t>
        </is>
      </c>
      <c r="C178" s="237" t="n">
        <v>45909</v>
      </c>
      <c r="D178" s="220" t="n">
        <v>255.36</v>
      </c>
      <c r="E178" s="220" t="n">
        <v>38.3</v>
      </c>
      <c r="F178" s="220" t="n">
        <v>217.06</v>
      </c>
      <c r="G178" s="220" t="n">
        <v>2.55</v>
      </c>
      <c r="H178" s="220" t="n">
        <v>0.38</v>
      </c>
      <c r="I178" s="220" t="n">
        <v>2.17</v>
      </c>
    </row>
    <row r="179" ht="28" customHeight="1" s="132">
      <c r="A179" s="220" t="inlineStr">
        <is>
          <t>A168</t>
        </is>
      </c>
      <c r="B179" s="220" t="inlineStr">
        <is>
          <t>CI2523602661</t>
        </is>
      </c>
      <c r="C179" s="237" t="n">
        <v>45909</v>
      </c>
      <c r="D179" s="220" t="n">
        <v>287.39</v>
      </c>
      <c r="E179" s="220" t="n">
        <v>43.11</v>
      </c>
      <c r="F179" s="220" t="n">
        <v>244.28</v>
      </c>
      <c r="G179" s="220" t="n">
        <v>2.87</v>
      </c>
      <c r="H179" s="220" t="n">
        <v>0.43</v>
      </c>
      <c r="I179" s="220" t="n">
        <v>2.44</v>
      </c>
    </row>
    <row r="180" ht="28" customHeight="1" s="132">
      <c r="A180" s="220" t="inlineStr">
        <is>
          <t>A169</t>
        </is>
      </c>
      <c r="B180" s="220" t="inlineStr">
        <is>
          <t>CI2523533363</t>
        </is>
      </c>
      <c r="C180" s="237" t="n">
        <v>45909</v>
      </c>
      <c r="D180" s="220" t="n">
        <v>115.6</v>
      </c>
      <c r="E180" s="220" t="n">
        <v>17.34</v>
      </c>
      <c r="F180" s="220" t="n">
        <v>98.26000000000001</v>
      </c>
      <c r="G180" s="220" t="n">
        <v>1.16</v>
      </c>
      <c r="H180" s="220" t="n">
        <v>0.17</v>
      </c>
      <c r="I180" s="220" t="n">
        <v>0.99</v>
      </c>
    </row>
    <row r="181" ht="28" customHeight="1" s="132">
      <c r="A181" s="220" t="inlineStr">
        <is>
          <t>A170</t>
        </is>
      </c>
      <c r="B181" s="220" t="inlineStr">
        <is>
          <t>CI2523602097</t>
        </is>
      </c>
      <c r="C181" s="237" t="n">
        <v>45909</v>
      </c>
      <c r="D181" s="220" t="n">
        <v>90.09999999999999</v>
      </c>
      <c r="E181" s="220" t="n">
        <v>13.51</v>
      </c>
      <c r="F181" s="220" t="n">
        <v>76.59</v>
      </c>
      <c r="G181" s="220" t="n">
        <v>0.9</v>
      </c>
      <c r="H181" s="220" t="n">
        <v>0.14</v>
      </c>
      <c r="I181" s="220" t="n">
        <v>0.76</v>
      </c>
    </row>
    <row r="182" ht="28" customHeight="1" s="132">
      <c r="A182" s="220" t="inlineStr">
        <is>
          <t>A171</t>
        </is>
      </c>
      <c r="B182" s="220" t="inlineStr">
        <is>
          <t>CI2523603204</t>
        </is>
      </c>
      <c r="C182" s="237" t="n">
        <v>45909</v>
      </c>
      <c r="D182" s="220" t="n">
        <v>245.94</v>
      </c>
      <c r="E182" s="220" t="n">
        <v>36.89</v>
      </c>
      <c r="F182" s="220" t="n">
        <v>209.05</v>
      </c>
      <c r="G182" s="220" t="n">
        <v>2.46</v>
      </c>
      <c r="H182" s="220" t="n">
        <v>0.37</v>
      </c>
      <c r="I182" s="220" t="n">
        <v>2.09</v>
      </c>
    </row>
    <row r="183" ht="28" customHeight="1" s="132">
      <c r="A183" s="220" t="inlineStr">
        <is>
          <t>A172</t>
        </is>
      </c>
      <c r="B183" s="220" t="inlineStr">
        <is>
          <t>CI2523601665</t>
        </is>
      </c>
      <c r="C183" s="237" t="n">
        <v>45909</v>
      </c>
      <c r="D183" s="220" t="n">
        <v>254.35</v>
      </c>
      <c r="E183" s="220" t="n">
        <v>38.15</v>
      </c>
      <c r="F183" s="220" t="n">
        <v>216.2</v>
      </c>
      <c r="G183" s="220" t="n">
        <v>2.54</v>
      </c>
      <c r="H183" s="220" t="n">
        <v>0.38</v>
      </c>
      <c r="I183" s="220" t="n">
        <v>2.16</v>
      </c>
    </row>
    <row r="184" ht="28" customHeight="1" s="132">
      <c r="A184" s="220" t="inlineStr">
        <is>
          <t>A173</t>
        </is>
      </c>
      <c r="B184" s="220" t="inlineStr">
        <is>
          <t>CI2523602796</t>
        </is>
      </c>
      <c r="C184" s="237" t="n">
        <v>45909</v>
      </c>
      <c r="D184" s="220" t="n">
        <v>277</v>
      </c>
      <c r="E184" s="220" t="n">
        <v>41.55</v>
      </c>
      <c r="F184" s="220" t="n">
        <v>235.45</v>
      </c>
      <c r="G184" s="220" t="n">
        <v>2.77</v>
      </c>
      <c r="H184" s="220" t="n">
        <v>0.42</v>
      </c>
      <c r="I184" s="220" t="n">
        <v>2.35</v>
      </c>
    </row>
    <row r="185" ht="28" customHeight="1" s="132">
      <c r="A185" s="220" t="inlineStr">
        <is>
          <t>A174</t>
        </is>
      </c>
      <c r="B185" s="220" t="inlineStr">
        <is>
          <t>CI2523616732</t>
        </is>
      </c>
      <c r="C185" s="237" t="n">
        <v>45910</v>
      </c>
      <c r="D185" s="220" t="n">
        <v>255.34</v>
      </c>
      <c r="E185" s="220" t="n">
        <v>38.3</v>
      </c>
      <c r="F185" s="220" t="n">
        <v>217.04</v>
      </c>
      <c r="G185" s="220" t="n">
        <v>2.55</v>
      </c>
      <c r="H185" s="220" t="n">
        <v>0.38</v>
      </c>
      <c r="I185" s="220" t="n">
        <v>2.17</v>
      </c>
    </row>
    <row r="186" ht="28" customHeight="1" s="132">
      <c r="A186" s="220" t="inlineStr">
        <is>
          <t>A175</t>
        </is>
      </c>
      <c r="B186" s="220" t="inlineStr">
        <is>
          <t>CI2523624687</t>
        </is>
      </c>
      <c r="C186" s="237" t="n">
        <v>45911</v>
      </c>
      <c r="D186" s="220" t="n">
        <v>59.5</v>
      </c>
      <c r="E186" s="220" t="n">
        <v>8.92</v>
      </c>
      <c r="F186" s="220" t="n">
        <v>50.58</v>
      </c>
      <c r="G186" s="220" t="n">
        <v>0.59</v>
      </c>
      <c r="H186" s="220" t="n">
        <v>0.09</v>
      </c>
      <c r="I186" s="220" t="n">
        <v>0.5</v>
      </c>
    </row>
    <row r="187" ht="28" customHeight="1" s="132">
      <c r="A187" s="220" t="inlineStr">
        <is>
          <t>A176</t>
        </is>
      </c>
      <c r="B187" s="220" t="inlineStr">
        <is>
          <t>CI2523628442</t>
        </is>
      </c>
      <c r="C187" s="237" t="n">
        <v>45911</v>
      </c>
      <c r="D187" s="220" t="n">
        <v>441.43</v>
      </c>
      <c r="E187" s="220" t="n">
        <v>66.20999999999999</v>
      </c>
      <c r="F187" s="220" t="n">
        <v>375.22</v>
      </c>
      <c r="G187" s="220" t="n">
        <v>4.41</v>
      </c>
      <c r="H187" s="220" t="n">
        <v>0.66</v>
      </c>
      <c r="I187" s="220" t="n">
        <v>3.75</v>
      </c>
    </row>
    <row r="188" ht="28" customHeight="1" s="132">
      <c r="A188" s="220" t="inlineStr">
        <is>
          <t>A177</t>
        </is>
      </c>
      <c r="B188" s="220" t="inlineStr">
        <is>
          <t>CI2523627145</t>
        </is>
      </c>
      <c r="C188" s="237" t="n">
        <v>45911</v>
      </c>
      <c r="D188" s="220" t="n">
        <v>1500.63</v>
      </c>
      <c r="E188" s="220" t="n">
        <v>225.09</v>
      </c>
      <c r="F188" s="220" t="n">
        <v>1275.54</v>
      </c>
      <c r="G188" s="220" t="n">
        <v>15.01</v>
      </c>
      <c r="H188" s="220" t="n">
        <v>2.25</v>
      </c>
      <c r="I188" s="220" t="n">
        <v>12.76</v>
      </c>
    </row>
    <row r="189" ht="28" customHeight="1" s="132">
      <c r="A189" s="220" t="inlineStr">
        <is>
          <t>A178</t>
        </is>
      </c>
      <c r="B189" s="220" t="inlineStr">
        <is>
          <t>CI2523650438</t>
        </is>
      </c>
      <c r="C189" s="237" t="n">
        <v>45915</v>
      </c>
      <c r="D189" s="220" t="n">
        <v>270.3</v>
      </c>
      <c r="E189" s="220" t="n">
        <v>40.55</v>
      </c>
      <c r="F189" s="220" t="n">
        <v>229.75</v>
      </c>
      <c r="G189" s="220" t="n">
        <v>2.7</v>
      </c>
      <c r="H189" s="220" t="n">
        <v>0.41</v>
      </c>
      <c r="I189" s="220" t="n">
        <v>2.29</v>
      </c>
    </row>
    <row r="190" ht="28" customHeight="1" s="132">
      <c r="A190" s="220" t="inlineStr">
        <is>
          <t>A179</t>
        </is>
      </c>
      <c r="B190" s="220" t="inlineStr">
        <is>
          <t>CI2523654500</t>
        </is>
      </c>
      <c r="C190" s="237" t="n">
        <v>45916</v>
      </c>
      <c r="D190" s="220" t="n">
        <v>350</v>
      </c>
      <c r="E190" s="220" t="n">
        <v>52.5</v>
      </c>
      <c r="F190" s="220" t="n">
        <v>297.5</v>
      </c>
      <c r="G190" s="220" t="n">
        <v>3.5</v>
      </c>
      <c r="H190" s="220" t="n">
        <v>0.53</v>
      </c>
      <c r="I190" s="220" t="n">
        <v>2.97</v>
      </c>
    </row>
    <row r="191" ht="28" customHeight="1" s="132">
      <c r="A191" s="220" t="inlineStr">
        <is>
          <t>A180</t>
        </is>
      </c>
      <c r="B191" s="220" t="inlineStr">
        <is>
          <t>CI2523666277</t>
        </is>
      </c>
      <c r="C191" s="237" t="n">
        <v>45917</v>
      </c>
      <c r="D191" s="220" t="n">
        <v>662.9</v>
      </c>
      <c r="E191" s="220" t="n">
        <v>99.43000000000001</v>
      </c>
      <c r="F191" s="220" t="n">
        <v>563.47</v>
      </c>
      <c r="G191" s="220" t="n">
        <v>6.63</v>
      </c>
      <c r="H191" s="220" t="n">
        <v>0.99</v>
      </c>
      <c r="I191" s="220" t="n">
        <v>5.64</v>
      </c>
    </row>
    <row r="192" ht="28" customHeight="1" s="132">
      <c r="A192" s="220" t="inlineStr">
        <is>
          <t>A181</t>
        </is>
      </c>
      <c r="B192" s="220" t="inlineStr">
        <is>
          <t>CI2523673860</t>
        </is>
      </c>
      <c r="C192" s="237" t="n">
        <v>45919</v>
      </c>
      <c r="D192" s="220" t="n">
        <v>743.97</v>
      </c>
      <c r="E192" s="220" t="n">
        <v>111.6</v>
      </c>
      <c r="F192" s="220" t="n">
        <v>632.37</v>
      </c>
      <c r="G192" s="220" t="n">
        <v>7.44</v>
      </c>
      <c r="H192" s="220" t="n">
        <v>1.12</v>
      </c>
      <c r="I192" s="220" t="n">
        <v>6.32</v>
      </c>
    </row>
    <row r="193" ht="28" customHeight="1" s="132">
      <c r="A193" s="220" t="inlineStr">
        <is>
          <t>A182</t>
        </is>
      </c>
      <c r="B193" s="220" t="inlineStr">
        <is>
          <t>CI2523687411</t>
        </is>
      </c>
      <c r="C193" s="237" t="n">
        <v>45919</v>
      </c>
      <c r="D193" s="220" t="n">
        <v>571.0599999999999</v>
      </c>
      <c r="E193" s="220" t="n">
        <v>85.66</v>
      </c>
      <c r="F193" s="220" t="n">
        <v>485.4</v>
      </c>
      <c r="G193" s="220" t="n">
        <v>5.71</v>
      </c>
      <c r="H193" s="220" t="n">
        <v>0.86</v>
      </c>
      <c r="I193" s="220" t="n">
        <v>4.85</v>
      </c>
    </row>
    <row r="194" ht="28" customHeight="1" s="132">
      <c r="A194" s="220" t="inlineStr">
        <is>
          <t>A183</t>
        </is>
      </c>
      <c r="B194" s="220" t="inlineStr">
        <is>
          <t>CI2523680273</t>
        </is>
      </c>
      <c r="C194" s="237" t="n">
        <v>45919</v>
      </c>
      <c r="D194" s="220" t="n">
        <v>121.84</v>
      </c>
      <c r="E194" s="220" t="n">
        <v>18.28</v>
      </c>
      <c r="F194" s="220" t="n">
        <v>103.56</v>
      </c>
      <c r="G194" s="220" t="n">
        <v>1.22</v>
      </c>
      <c r="H194" s="220" t="n">
        <v>0.18</v>
      </c>
      <c r="I194" s="220" t="n">
        <v>1.04</v>
      </c>
    </row>
    <row r="195" ht="28" customHeight="1" s="132">
      <c r="A195" s="220" t="inlineStr">
        <is>
          <t>A184</t>
        </is>
      </c>
      <c r="B195" s="220" t="inlineStr">
        <is>
          <t>CI2523678380</t>
        </is>
      </c>
      <c r="C195" s="237" t="n">
        <v>45919</v>
      </c>
      <c r="D195" s="220" t="n">
        <v>88.20999999999999</v>
      </c>
      <c r="E195" s="220" t="n">
        <v>13.23</v>
      </c>
      <c r="F195" s="220" t="n">
        <v>74.98</v>
      </c>
      <c r="G195" s="220" t="n">
        <v>0.88</v>
      </c>
      <c r="H195" s="220" t="n">
        <v>0.13</v>
      </c>
      <c r="I195" s="220" t="n">
        <v>0.75</v>
      </c>
    </row>
    <row r="196" ht="28" customHeight="1" s="132">
      <c r="A196" s="220" t="inlineStr">
        <is>
          <t>A185</t>
        </is>
      </c>
      <c r="B196" s="220" t="inlineStr">
        <is>
          <t>CI2523700785</t>
        </is>
      </c>
      <c r="C196" s="237" t="n">
        <v>45922</v>
      </c>
      <c r="D196" s="220" t="n">
        <v>258.64</v>
      </c>
      <c r="E196" s="220" t="n">
        <v>38.8</v>
      </c>
      <c r="F196" s="220" t="n">
        <v>219.84</v>
      </c>
      <c r="G196" s="220" t="n">
        <v>2.59</v>
      </c>
      <c r="H196" s="220" t="n">
        <v>0.39</v>
      </c>
      <c r="I196" s="220" t="n">
        <v>2.2</v>
      </c>
    </row>
    <row r="197" ht="28" customHeight="1" s="132">
      <c r="A197" s="220" t="inlineStr">
        <is>
          <t>A186</t>
        </is>
      </c>
      <c r="B197" s="220" t="inlineStr">
        <is>
          <t>CI2523701780</t>
        </is>
      </c>
      <c r="C197" s="237" t="n">
        <v>45922</v>
      </c>
      <c r="D197" s="220" t="n">
        <v>146.49</v>
      </c>
      <c r="E197" s="220" t="n">
        <v>21.97</v>
      </c>
      <c r="F197" s="220" t="n">
        <v>124.52</v>
      </c>
      <c r="G197" s="220" t="n">
        <v>1.46</v>
      </c>
      <c r="H197" s="220" t="n">
        <v>0.22</v>
      </c>
      <c r="I197" s="220" t="n">
        <v>1.24</v>
      </c>
    </row>
    <row r="198" ht="28" customHeight="1" s="132">
      <c r="A198" s="220" t="inlineStr">
        <is>
          <t>A187</t>
        </is>
      </c>
      <c r="B198" s="220" t="inlineStr">
        <is>
          <t>CI2523711722</t>
        </is>
      </c>
      <c r="C198" s="237" t="n">
        <v>45923</v>
      </c>
      <c r="D198" s="220" t="n">
        <v>236.01</v>
      </c>
      <c r="E198" s="220" t="n">
        <v>35.4</v>
      </c>
      <c r="F198" s="220" t="n">
        <v>200.61</v>
      </c>
      <c r="G198" s="220" t="n">
        <v>2.36</v>
      </c>
      <c r="H198" s="220" t="n">
        <v>0.35</v>
      </c>
      <c r="I198" s="220" t="n">
        <v>2.01</v>
      </c>
    </row>
    <row r="199" ht="28" customHeight="1" s="132">
      <c r="A199" s="220" t="inlineStr">
        <is>
          <t>A188</t>
        </is>
      </c>
      <c r="B199" s="220" t="inlineStr">
        <is>
          <t>CI2523709977</t>
        </is>
      </c>
      <c r="C199" s="237" t="n">
        <v>45923</v>
      </c>
      <c r="D199" s="220" t="n">
        <v>182.67</v>
      </c>
      <c r="E199" s="220" t="n">
        <v>27.4</v>
      </c>
      <c r="F199" s="220" t="n">
        <v>155.27</v>
      </c>
      <c r="G199" s="220" t="n">
        <v>1.83</v>
      </c>
      <c r="H199" s="220" t="n">
        <v>0.27</v>
      </c>
      <c r="I199" s="220" t="n">
        <v>1.56</v>
      </c>
    </row>
    <row r="200" ht="28" customHeight="1" s="132">
      <c r="A200" s="220" t="inlineStr">
        <is>
          <t>A189</t>
        </is>
      </c>
      <c r="B200" s="220" t="inlineStr">
        <is>
          <t>CI2523712450</t>
        </is>
      </c>
      <c r="C200" s="237" t="n">
        <v>45923</v>
      </c>
      <c r="D200" s="220" t="n">
        <v>111.18</v>
      </c>
      <c r="E200" s="220" t="n">
        <v>16.68</v>
      </c>
      <c r="F200" s="220" t="n">
        <v>94.5</v>
      </c>
      <c r="G200" s="220" t="n">
        <v>1.11</v>
      </c>
      <c r="H200" s="220" t="n">
        <v>0.17</v>
      </c>
      <c r="I200" s="220" t="n">
        <v>0.9399999999999999</v>
      </c>
    </row>
    <row r="201" ht="28" customHeight="1" s="132">
      <c r="A201" s="220" t="inlineStr">
        <is>
          <t>A190</t>
        </is>
      </c>
      <c r="B201" s="220" t="inlineStr">
        <is>
          <t>CI2523705925</t>
        </is>
      </c>
      <c r="C201" s="237" t="n">
        <v>45923</v>
      </c>
      <c r="D201" s="220" t="n">
        <v>1021.63</v>
      </c>
      <c r="E201" s="220" t="n">
        <v>153.24</v>
      </c>
      <c r="F201" s="220" t="n">
        <v>868.39</v>
      </c>
      <c r="G201" s="220" t="n">
        <v>10.22</v>
      </c>
      <c r="H201" s="220" t="n">
        <v>1.53</v>
      </c>
      <c r="I201" s="220" t="n">
        <v>8.69</v>
      </c>
    </row>
    <row r="202" ht="28" customHeight="1" s="132">
      <c r="A202" s="220" t="inlineStr">
        <is>
          <t>A191</t>
        </is>
      </c>
      <c r="B202" s="220" t="inlineStr">
        <is>
          <t>CI2523709715</t>
        </is>
      </c>
      <c r="C202" s="237" t="n">
        <v>45923</v>
      </c>
      <c r="D202" s="220" t="n">
        <v>80.19</v>
      </c>
      <c r="E202" s="220" t="n">
        <v>12.03</v>
      </c>
      <c r="F202" s="220" t="n">
        <v>68.16</v>
      </c>
      <c r="G202" s="220" t="n">
        <v>0.8</v>
      </c>
      <c r="H202" s="220" t="n">
        <v>0.12</v>
      </c>
      <c r="I202" s="220" t="n">
        <v>0.68</v>
      </c>
    </row>
    <row r="203" ht="28" customHeight="1" s="132">
      <c r="A203" s="220" t="inlineStr">
        <is>
          <t>A192</t>
        </is>
      </c>
      <c r="B203" s="220" t="inlineStr">
        <is>
          <t>CI2523705650</t>
        </is>
      </c>
      <c r="C203" s="237" t="n">
        <v>45923</v>
      </c>
      <c r="D203" s="220" t="n">
        <v>668.75</v>
      </c>
      <c r="E203" s="220" t="n">
        <v>100.31</v>
      </c>
      <c r="F203" s="220" t="n">
        <v>568.4400000000001</v>
      </c>
      <c r="G203" s="220" t="n">
        <v>6.69</v>
      </c>
      <c r="H203" s="220" t="n">
        <v>1</v>
      </c>
      <c r="I203" s="220" t="n">
        <v>5.69</v>
      </c>
    </row>
    <row r="204" ht="28" customHeight="1" s="132">
      <c r="A204" s="220" t="inlineStr">
        <is>
          <t>A193</t>
        </is>
      </c>
      <c r="B204" s="220" t="inlineStr">
        <is>
          <t>CI2523714589</t>
        </is>
      </c>
      <c r="C204" s="237" t="n">
        <v>45924</v>
      </c>
      <c r="D204" s="220" t="n">
        <v>373.32</v>
      </c>
      <c r="E204" s="220" t="n">
        <v>56</v>
      </c>
      <c r="F204" s="220" t="n">
        <v>317.32</v>
      </c>
      <c r="G204" s="220" t="n">
        <v>3.73</v>
      </c>
      <c r="H204" s="220" t="n">
        <v>0.5600000000000001</v>
      </c>
      <c r="I204" s="220" t="n">
        <v>3.17</v>
      </c>
    </row>
    <row r="205" ht="28" customHeight="1" s="132">
      <c r="A205" s="220" t="inlineStr">
        <is>
          <t>A194</t>
        </is>
      </c>
      <c r="B205" s="220" t="inlineStr">
        <is>
          <t>CI2523733529</t>
        </is>
      </c>
      <c r="C205" s="237" t="n">
        <v>45925</v>
      </c>
      <c r="D205" s="220" t="n">
        <v>898.42</v>
      </c>
      <c r="E205" s="220" t="n">
        <v>134.76</v>
      </c>
      <c r="F205" s="220" t="n">
        <v>763.66</v>
      </c>
      <c r="G205" s="220" t="n">
        <v>8.98</v>
      </c>
      <c r="H205" s="220" t="n">
        <v>1.35</v>
      </c>
      <c r="I205" s="220" t="n">
        <v>7.63</v>
      </c>
    </row>
    <row r="206" ht="28" customHeight="1" s="132">
      <c r="A206" s="220" t="inlineStr">
        <is>
          <t>A195</t>
        </is>
      </c>
      <c r="B206" s="220" t="inlineStr">
        <is>
          <t>CI2523734998</t>
        </is>
      </c>
      <c r="C206" s="237" t="n">
        <v>45925</v>
      </c>
      <c r="D206" s="220" t="n">
        <v>243.34</v>
      </c>
      <c r="E206" s="220" t="n">
        <v>36.5</v>
      </c>
      <c r="F206" s="220" t="n">
        <v>206.84</v>
      </c>
      <c r="G206" s="220" t="n">
        <v>2.43</v>
      </c>
      <c r="H206" s="220" t="n">
        <v>0.36</v>
      </c>
      <c r="I206" s="220" t="n">
        <v>2.07</v>
      </c>
    </row>
    <row r="207" ht="28" customHeight="1" s="132">
      <c r="A207" s="220" t="inlineStr">
        <is>
          <t>A196</t>
        </is>
      </c>
      <c r="B207" s="220" t="inlineStr">
        <is>
          <t>CI2523735722</t>
        </is>
      </c>
      <c r="C207" s="237" t="n">
        <v>45925</v>
      </c>
      <c r="D207" s="220" t="n">
        <v>2493.9</v>
      </c>
      <c r="E207" s="220" t="n">
        <v>0</v>
      </c>
      <c r="F207" s="220" t="n">
        <v>2493.9</v>
      </c>
      <c r="G207" s="220" t="n">
        <v>24.94</v>
      </c>
      <c r="H207" s="220" t="n">
        <v>0</v>
      </c>
      <c r="I207" s="220" t="n">
        <v>24.94</v>
      </c>
    </row>
    <row r="208" ht="28" customHeight="1" s="132">
      <c r="A208" s="220" t="inlineStr">
        <is>
          <t>A197</t>
        </is>
      </c>
      <c r="B208" s="220" t="inlineStr">
        <is>
          <t>CI2523744118</t>
        </is>
      </c>
      <c r="C208" s="237" t="n">
        <v>45926</v>
      </c>
      <c r="D208" s="220" t="n">
        <v>89.34999999999999</v>
      </c>
      <c r="E208" s="220" t="n">
        <v>13.4</v>
      </c>
      <c r="F208" s="220" t="n">
        <v>75.95</v>
      </c>
      <c r="G208" s="220" t="n">
        <v>0.89</v>
      </c>
      <c r="H208" s="220" t="n">
        <v>0.13</v>
      </c>
      <c r="I208" s="220" t="n">
        <v>0.76</v>
      </c>
    </row>
    <row r="209" ht="28" customHeight="1" s="132">
      <c r="A209" s="220" t="inlineStr">
        <is>
          <t>A198</t>
        </is>
      </c>
      <c r="B209" s="220" t="inlineStr">
        <is>
          <t>CI2523742069</t>
        </is>
      </c>
      <c r="C209" s="237" t="n">
        <v>45926</v>
      </c>
      <c r="D209" s="220" t="n">
        <v>147.52</v>
      </c>
      <c r="E209" s="220" t="n">
        <v>0</v>
      </c>
      <c r="F209" s="220" t="n">
        <v>147.52</v>
      </c>
      <c r="G209" s="220" t="n">
        <v>1.48</v>
      </c>
      <c r="H209" s="220" t="n">
        <v>0</v>
      </c>
      <c r="I209" s="220" t="n">
        <v>1.48</v>
      </c>
    </row>
    <row r="210" ht="28" customHeight="1" s="132">
      <c r="A210" s="220" t="inlineStr">
        <is>
          <t>A199</t>
        </is>
      </c>
      <c r="B210" s="220" t="inlineStr">
        <is>
          <t>CI2523740724</t>
        </is>
      </c>
      <c r="C210" s="237" t="n">
        <v>45926</v>
      </c>
      <c r="D210" s="220" t="n">
        <v>184.72</v>
      </c>
      <c r="E210" s="220" t="n">
        <v>27.71</v>
      </c>
      <c r="F210" s="220" t="n">
        <v>157.01</v>
      </c>
      <c r="G210" s="220" t="n">
        <v>1.85</v>
      </c>
      <c r="H210" s="220" t="n">
        <v>0.28</v>
      </c>
      <c r="I210" s="220" t="n">
        <v>1.57</v>
      </c>
    </row>
    <row r="211" ht="28" customHeight="1" s="132">
      <c r="A211" s="220" t="inlineStr">
        <is>
          <t>A200</t>
        </is>
      </c>
      <c r="B211" s="220" t="inlineStr">
        <is>
          <t>CI2523737214</t>
        </is>
      </c>
      <c r="C211" s="237" t="n">
        <v>45926</v>
      </c>
      <c r="D211" s="220" t="n">
        <v>128.27</v>
      </c>
      <c r="E211" s="220" t="n">
        <v>19.24</v>
      </c>
      <c r="F211" s="220" t="n">
        <v>109.03</v>
      </c>
      <c r="G211" s="220" t="n">
        <v>1.28</v>
      </c>
      <c r="H211" s="220" t="n">
        <v>0.19</v>
      </c>
      <c r="I211" s="220" t="n">
        <v>1.09</v>
      </c>
    </row>
    <row r="212" ht="28" customHeight="1" s="132">
      <c r="A212" s="220" t="inlineStr">
        <is>
          <t>A201</t>
        </is>
      </c>
      <c r="B212" s="220" t="inlineStr">
        <is>
          <t>CI2523751536</t>
        </is>
      </c>
      <c r="C212" s="237" t="n">
        <v>45929</v>
      </c>
      <c r="D212" s="220" t="n">
        <v>463.1</v>
      </c>
      <c r="E212" s="220" t="n">
        <v>69.47</v>
      </c>
      <c r="F212" s="220" t="n">
        <v>393.63</v>
      </c>
      <c r="G212" s="220" t="n">
        <v>4.63</v>
      </c>
      <c r="H212" s="220" t="n">
        <v>0.6899999999999999</v>
      </c>
      <c r="I212" s="220" t="n">
        <v>3.94</v>
      </c>
    </row>
    <row r="213" ht="28" customHeight="1" s="132">
      <c r="A213" s="220" t="inlineStr">
        <is>
          <t>A202</t>
        </is>
      </c>
      <c r="B213" s="220" t="inlineStr">
        <is>
          <t>CI2523758337</t>
        </is>
      </c>
      <c r="C213" s="237" t="n">
        <v>45929</v>
      </c>
      <c r="D213" s="220" t="n">
        <v>89.72</v>
      </c>
      <c r="E213" s="220" t="n">
        <v>13.46</v>
      </c>
      <c r="F213" s="220" t="n">
        <v>76.26000000000001</v>
      </c>
      <c r="G213" s="220" t="n">
        <v>0.9</v>
      </c>
      <c r="H213" s="220" t="n">
        <v>0.13</v>
      </c>
      <c r="I213" s="220" t="n">
        <v>0.77</v>
      </c>
    </row>
    <row r="214">
      <c r="A214" s="222" t="inlineStr">
        <is>
          <t>AA1</t>
        </is>
      </c>
      <c r="B214" s="222" t="inlineStr">
        <is>
          <t>Yekun BSH</t>
        </is>
      </c>
      <c r="C214" s="2" t="n"/>
      <c r="D214" s="222" t="n">
        <v>136296.15</v>
      </c>
      <c r="E214" s="222" t="n">
        <v>19283.75</v>
      </c>
      <c r="F214" s="222" t="n">
        <v>117012.4</v>
      </c>
      <c r="G214" s="222" t="n">
        <v>1362.92</v>
      </c>
      <c r="H214" s="222" t="n">
        <v>192.83</v>
      </c>
      <c r="I214" s="222" t="n">
        <v>1170.09</v>
      </c>
    </row>
    <row r="215">
      <c r="B215" s="18" t="inlineStr">
        <is>
          <t>Təkrarsığorta müqavilələri (təkrarsığortaya qəbul edilmiş risklər üzrə)</t>
        </is>
      </c>
      <c r="C215" s="18" t="inlineStr">
        <is>
          <t>Təkrarsığorta müqaviləsinin bağlandığı tarix</t>
        </is>
      </c>
      <c r="D215" s="17" t="inlineStr">
        <is>
          <t>Hesablanmış təkrarsığorta haqqı</t>
        </is>
      </c>
      <c r="E215" s="17" t="inlineStr">
        <is>
          <t>Komisyon muzdu (hesablanmış təkrarsığorta haqqının 15 %-dən çox olmamaqla)</t>
        </is>
      </c>
      <c r="F215" s="18" t="inlineStr">
        <is>
          <t>Baza təkrarsığorta haqqı (süt.2-süt.3)</t>
        </is>
      </c>
      <c r="G215" s="18" t="inlineStr">
        <is>
          <t>Hesablanmış təkrarsığorta haqqının katastrofik risk təminatına düşən hissəsi</t>
        </is>
      </c>
      <c r="H215" s="18" t="inlineStr">
        <is>
          <t>Katastrofik risk təminatı üzrə komisyon muzd (hesablanmış təkrarsığorta haqqının katastrofik risk təminatına düşən hissəsinin 15%-dən çox olmamaqla)</t>
        </is>
      </c>
      <c r="I215" s="18" t="inlineStr">
        <is>
          <t>Baza təkrarsığorta haqqının katastrofik risk təminatına düşən hissəsi (VI-VII)</t>
        </is>
      </c>
    </row>
    <row r="216">
      <c r="A216" t="inlineStr">
        <is>
          <t>B</t>
        </is>
      </c>
      <c r="B216" s="19" t="inlineStr">
        <is>
          <t>I</t>
        </is>
      </c>
      <c r="C216" s="19" t="inlineStr">
        <is>
          <t>II</t>
        </is>
      </c>
      <c r="D216" s="19" t="inlineStr">
        <is>
          <t>III</t>
        </is>
      </c>
      <c r="E216" s="19" t="inlineStr">
        <is>
          <t>IV</t>
        </is>
      </c>
      <c r="F216" s="19" t="inlineStr">
        <is>
          <t>V</t>
        </is>
      </c>
      <c r="G216" s="19" t="inlineStr">
        <is>
          <t>VI</t>
        </is>
      </c>
      <c r="H216" s="19" t="inlineStr">
        <is>
          <t>VII</t>
        </is>
      </c>
      <c r="I216" s="19" t="inlineStr">
        <is>
          <t>VIII</t>
        </is>
      </c>
    </row>
    <row r="217">
      <c r="A217" t="inlineStr">
        <is>
          <t>BB1</t>
        </is>
      </c>
      <c r="B217" s="141" t="inlineStr">
        <is>
          <t xml:space="preserve">Aralıq yekun </t>
        </is>
      </c>
      <c r="C217" s="3" t="n"/>
      <c r="D217" s="21" t="n">
        <v>0</v>
      </c>
      <c r="E217" s="21" t="n">
        <v>0</v>
      </c>
      <c r="F217" s="21" t="n">
        <v>0</v>
      </c>
      <c r="G217" s="21" t="n">
        <v>0</v>
      </c>
      <c r="H217" s="21" t="n">
        <v>0</v>
      </c>
      <c r="I217" s="21" t="n">
        <v>0</v>
      </c>
    </row>
    <row r="218">
      <c r="A218" t="inlineStr">
        <is>
          <t>ZZ1</t>
        </is>
      </c>
      <c r="B218" s="141" t="inlineStr">
        <is>
          <t>Yekun BTSH</t>
        </is>
      </c>
      <c r="C218" s="23" t="n"/>
      <c r="D218" s="222" t="n">
        <v>136296.15</v>
      </c>
      <c r="E218" s="222" t="n">
        <v>19283.75</v>
      </c>
      <c r="F218" s="222" t="n">
        <v>117012.4</v>
      </c>
      <c r="G218" s="222" t="n">
        <v>1362.92</v>
      </c>
      <c r="H218" s="222" t="n">
        <v>192.83</v>
      </c>
      <c r="I218" s="222" t="n">
        <v>1170.09</v>
      </c>
    </row>
    <row r="219">
      <c r="B219" s="172" t="inlineStr">
        <is>
          <t>İdarə heyətinin sədri ____________________________       _____________</t>
        </is>
      </c>
    </row>
    <row r="220">
      <c r="B220" s="173" t="inlineStr">
        <is>
          <t xml:space="preserve">                                     (s.a.a)                                     (imza)</t>
        </is>
      </c>
    </row>
    <row r="221">
      <c r="B221" s="24" t="n"/>
      <c r="C221" s="24" t="n"/>
      <c r="D221" s="130" t="n"/>
      <c r="E221" s="130" t="n"/>
      <c r="F221" s="130" t="n"/>
    </row>
    <row r="222">
      <c r="B222" s="172" t="inlineStr">
        <is>
          <t>Baş mühasib _______________________       _____________</t>
        </is>
      </c>
    </row>
    <row r="223">
      <c r="B223" s="173" t="inlineStr">
        <is>
          <t xml:space="preserve">                                    (s.a.a)                                      (imza)</t>
        </is>
      </c>
    </row>
    <row r="224">
      <c r="B224" s="24" t="n"/>
      <c r="C224" s="24" t="n"/>
      <c r="D224" s="130" t="n"/>
      <c r="E224" s="130" t="n"/>
      <c r="F224" s="26" t="inlineStr">
        <is>
          <t>M.Y.</t>
        </is>
      </c>
    </row>
    <row r="225">
      <c r="B225" s="130" t="n"/>
      <c r="C225" s="130" t="n"/>
      <c r="D225" s="130" t="n"/>
      <c r="E225" s="130" t="n"/>
      <c r="F225" s="130"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227"/>
  <sheetViews>
    <sheetView workbookViewId="0">
      <selection activeCell="D6" sqref="D6"/>
    </sheetView>
  </sheetViews>
  <sheetFormatPr baseColWidth="8" defaultRowHeight="14.4"/>
  <cols>
    <col width="8.88671875" customWidth="1" style="132" min="1" max="1"/>
    <col width="24.77734375" customWidth="1" style="132" min="2" max="2"/>
    <col width="24.5546875" customWidth="1" style="132" min="3" max="3"/>
    <col width="24.77734375" customWidth="1" style="132" min="4" max="5"/>
    <col width="24.44140625" customWidth="1" style="132" min="6" max="6"/>
    <col width="24.44140625" customWidth="1" style="132" min="7" max="8"/>
    <col width="8.88671875" customWidth="1" style="132" min="9" max="16384"/>
  </cols>
  <sheetData>
    <row r="1" ht="39" customHeight="1" s="132">
      <c r="B1" s="27" t="n"/>
      <c r="C1" s="27" t="n"/>
      <c r="D1" s="27" t="n"/>
      <c r="E1" s="174" t="inlineStr">
        <is>
          <t>«Həyat sığortası və qeyri-həyat sığortası
üzrə sığorta ehtiyatlarının formalaşdırılması
Qaydaları»na Əlavə № 3</t>
        </is>
      </c>
    </row>
    <row r="2" ht="18" customHeight="1" s="132">
      <c r="B2" s="189" t="inlineStr">
        <is>
          <t>Forma № 8-2</t>
        </is>
      </c>
      <c r="C2" s="27" t="n"/>
      <c r="D2" s="27" t="n"/>
      <c r="E2" s="200" t="n"/>
      <c r="F2" s="130" t="n"/>
    </row>
    <row r="3" ht="20.4" customHeight="1" s="132">
      <c r="B3" s="179" t="inlineStr">
        <is>
          <t xml:space="preserve"> Qazanılmamış sığorta haqları ehtiyatının baza hissəsi</t>
        </is>
      </c>
    </row>
    <row r="4" ht="17.4" customHeight="1" s="132">
      <c r="B4" s="176" t="n">
        <v>0</v>
      </c>
    </row>
    <row r="5" ht="15.6" customHeight="1" s="132">
      <c r="B5" s="177" t="inlineStr">
        <is>
          <t xml:space="preserve">    (sığortaçının (təkrarsığortaçının)  adı)</t>
        </is>
      </c>
    </row>
    <row r="6" ht="17.4" customHeight="1" s="132">
      <c r="B6" s="11" t="n"/>
      <c r="D6" s="12" t="inlineStr">
        <is>
          <t>01.01.2026</t>
        </is>
      </c>
      <c r="E6" s="11" t="inlineStr">
        <is>
          <t xml:space="preserve"> -cı il  tarixə</t>
        </is>
      </c>
      <c r="F6" s="11" t="n"/>
    </row>
    <row r="7" ht="17.4" customHeight="1" s="132">
      <c r="B7" s="13" t="n"/>
      <c r="C7" s="13" t="n"/>
      <c r="D7" s="13" t="n"/>
      <c r="E7" s="13" t="n"/>
      <c r="F7" s="13" t="n"/>
    </row>
    <row r="8" ht="18" customHeight="1" s="132">
      <c r="B8" s="14" t="inlineStr">
        <is>
          <t>Sığortanın sinifi ____________________________</t>
        </is>
      </c>
      <c r="C8" s="219" t="inlineStr">
        <is>
          <t>(08)Yuk</t>
        </is>
      </c>
      <c r="D8" s="15" t="n"/>
      <c r="F8" s="13" t="n"/>
    </row>
    <row r="9" ht="18" customHeight="1" s="132">
      <c r="B9" s="71" t="n"/>
      <c r="C9" s="71" t="n"/>
      <c r="D9" s="71" t="n"/>
      <c r="E9" s="71" t="n"/>
      <c r="F9" s="71" t="n"/>
    </row>
    <row r="10" ht="129" customHeight="1" s="132">
      <c r="B10" s="18" t="inlineStr">
        <is>
          <t>Sığorta müqavilələri</t>
        </is>
      </c>
      <c r="C10" s="18" t="inlineStr">
        <is>
          <t>Baza sığorta haqqı</t>
        </is>
      </c>
      <c r="D10" s="18" t="inlineStr">
        <is>
          <t xml:space="preserve">Sığorta təminatının müddəti                   (günlərlə) </t>
        </is>
      </c>
      <c r="E10" s="18" t="inlineStr">
        <is>
          <t xml:space="preserve">Sığorta təminatının başlandığı andan hesabat tarixinə qədər günlərin sayı </t>
        </is>
      </c>
      <c r="F10" s="18" t="inlineStr">
        <is>
          <t>Qazanılmamış sığorta haqqı (süt.2x(süt.3-süt.4)/süt.3)</t>
        </is>
      </c>
      <c r="G10" s="18" t="inlineStr">
        <is>
          <t>Baza sığorta haqqının katastrofik risk təminatına düşən hissəsi</t>
        </is>
      </c>
      <c r="H10" s="18" t="inlineStr">
        <is>
          <t>Qazanılmamış sığorta haqqının katastrofik risk təminatına düşən hissəsi
(VIx(III-IV)/III)</t>
        </is>
      </c>
    </row>
    <row r="11" ht="17.4" customHeight="1" s="132">
      <c r="A11" t="inlineStr">
        <is>
          <t>A</t>
        </is>
      </c>
      <c r="B11" s="19" t="inlineStr">
        <is>
          <t>I</t>
        </is>
      </c>
      <c r="C11" s="19" t="inlineStr">
        <is>
          <t>II</t>
        </is>
      </c>
      <c r="D11" s="19" t="inlineStr">
        <is>
          <t>III</t>
        </is>
      </c>
      <c r="E11" s="19" t="inlineStr">
        <is>
          <t>IV</t>
        </is>
      </c>
      <c r="F11" s="19" t="inlineStr">
        <is>
          <t>V</t>
        </is>
      </c>
      <c r="G11" s="19" t="inlineStr">
        <is>
          <t>VI</t>
        </is>
      </c>
      <c r="H11" s="19" t="inlineStr">
        <is>
          <t>VII</t>
        </is>
      </c>
    </row>
    <row r="12" ht="28" customHeight="1" s="132">
      <c r="A12" s="220" t="inlineStr">
        <is>
          <t>A1</t>
        </is>
      </c>
      <c r="B12" s="220" t="inlineStr">
        <is>
          <t>CI2421782301</t>
        </is>
      </c>
      <c r="C12" s="220" t="n">
        <v>4407.25</v>
      </c>
      <c r="D12" s="220" t="n">
        <v>365</v>
      </c>
      <c r="E12" s="220" t="n">
        <v>435</v>
      </c>
      <c r="F12" s="220">
        <f>ROUND((D12-E12)/D12*C12,2)</f>
        <v/>
      </c>
      <c r="G12" s="220">
        <f>ROUND(C12*0.01,2)</f>
        <v/>
      </c>
      <c r="H12" s="220">
        <f>ROUND((D12-E12)/D12*G12,2)</f>
        <v/>
      </c>
    </row>
    <row r="13" ht="28" customHeight="1" s="132">
      <c r="A13" s="220" t="inlineStr">
        <is>
          <t>A2</t>
        </is>
      </c>
      <c r="B13" s="220" t="inlineStr">
        <is>
          <t>CI2522537202</t>
        </is>
      </c>
      <c r="C13" s="220" t="n">
        <v>55.55</v>
      </c>
      <c r="D13" s="220" t="n">
        <v>90</v>
      </c>
      <c r="E13" s="220" t="n">
        <v>268</v>
      </c>
      <c r="F13" s="220">
        <f>ROUND((D13-E13)/D13*C13,2)</f>
        <v/>
      </c>
      <c r="G13" s="220">
        <f>ROUND(C13*0.01,2)</f>
        <v/>
      </c>
      <c r="H13" s="220">
        <f>ROUND((D13-E13)/D13*G13,2)</f>
        <v/>
      </c>
    </row>
    <row r="14" ht="28" customHeight="1" s="132">
      <c r="A14" s="220" t="inlineStr">
        <is>
          <t>A3</t>
        </is>
      </c>
      <c r="B14" s="220" t="inlineStr">
        <is>
          <t>CI2522553133</t>
        </is>
      </c>
      <c r="C14" s="220" t="n">
        <v>462.4</v>
      </c>
      <c r="D14" s="220" t="n">
        <v>90</v>
      </c>
      <c r="E14" s="220" t="n">
        <v>265</v>
      </c>
      <c r="F14" s="220">
        <f>ROUND((D14-E14)/D14*C14,2)</f>
        <v/>
      </c>
      <c r="G14" s="220">
        <f>ROUND(C14*0.01,2)</f>
        <v/>
      </c>
      <c r="H14" s="220">
        <f>ROUND((D14-E14)/D14*G14,2)</f>
        <v/>
      </c>
    </row>
    <row r="15" ht="28" customHeight="1" s="132">
      <c r="A15" s="220" t="inlineStr">
        <is>
          <t>A4</t>
        </is>
      </c>
      <c r="B15" s="220" t="inlineStr">
        <is>
          <t>CI2522548439</t>
        </is>
      </c>
      <c r="C15" s="220" t="n">
        <v>1810.59</v>
      </c>
      <c r="D15" s="220" t="n">
        <v>90</v>
      </c>
      <c r="E15" s="220" t="n">
        <v>259</v>
      </c>
      <c r="F15" s="220">
        <f>ROUND((D15-E15)/D15*C15,2)</f>
        <v/>
      </c>
      <c r="G15" s="220">
        <f>ROUND(C15*0.01,2)</f>
        <v/>
      </c>
      <c r="H15" s="220">
        <f>ROUND((D15-E15)/D15*G15,2)</f>
        <v/>
      </c>
    </row>
    <row r="16" ht="28" customHeight="1" s="132">
      <c r="A16" s="220" t="inlineStr">
        <is>
          <t>A5</t>
        </is>
      </c>
      <c r="B16" s="220" t="inlineStr">
        <is>
          <t>CI2522695814</t>
        </is>
      </c>
      <c r="C16" s="220" t="n">
        <v>204.81</v>
      </c>
      <c r="D16" s="220" t="n">
        <v>62</v>
      </c>
      <c r="E16" s="220" t="n">
        <v>243</v>
      </c>
      <c r="F16" s="220">
        <f>ROUND((D16-E16)/D16*C16,2)</f>
        <v/>
      </c>
      <c r="G16" s="220">
        <f>ROUND(C16*0.01,2)</f>
        <v/>
      </c>
      <c r="H16" s="220">
        <f>ROUND((D16-E16)/D16*G16,2)</f>
        <v/>
      </c>
    </row>
    <row r="17" ht="28" customHeight="1" s="132">
      <c r="A17" s="220" t="inlineStr">
        <is>
          <t>A6</t>
        </is>
      </c>
      <c r="B17" s="220" t="inlineStr">
        <is>
          <t>CI2522700484</t>
        </is>
      </c>
      <c r="C17" s="220" t="n">
        <v>143.53</v>
      </c>
      <c r="D17" s="220" t="n">
        <v>62</v>
      </c>
      <c r="E17" s="220" t="n">
        <v>243</v>
      </c>
      <c r="F17" s="220">
        <f>ROUND((D17-E17)/D17*C17,2)</f>
        <v/>
      </c>
      <c r="G17" s="220">
        <f>ROUND(C17*0.01,2)</f>
        <v/>
      </c>
      <c r="H17" s="220">
        <f>ROUND((D17-E17)/D17*G17,2)</f>
        <v/>
      </c>
    </row>
    <row r="18" ht="28" customHeight="1" s="132">
      <c r="A18" s="220" t="inlineStr">
        <is>
          <t>A7</t>
        </is>
      </c>
      <c r="B18" s="220" t="inlineStr">
        <is>
          <t>CI2522715202</t>
        </is>
      </c>
      <c r="C18" s="220" t="n">
        <v>6342.11</v>
      </c>
      <c r="D18" s="220" t="n">
        <v>93</v>
      </c>
      <c r="E18" s="220" t="n">
        <v>240</v>
      </c>
      <c r="F18" s="220">
        <f>ROUND((D18-E18)/D18*C18,2)</f>
        <v/>
      </c>
      <c r="G18" s="220">
        <f>ROUND(C18*0.01,2)</f>
        <v/>
      </c>
      <c r="H18" s="220">
        <f>ROUND((D18-E18)/D18*G18,2)</f>
        <v/>
      </c>
    </row>
    <row r="19" ht="28" customHeight="1" s="132">
      <c r="A19" s="220" t="inlineStr">
        <is>
          <t>A8</t>
        </is>
      </c>
      <c r="B19" s="220" t="inlineStr">
        <is>
          <t>CI2522708672</t>
        </is>
      </c>
      <c r="C19" s="220" t="n">
        <v>231.06</v>
      </c>
      <c r="D19" s="220" t="n">
        <v>60</v>
      </c>
      <c r="E19" s="220" t="n">
        <v>243</v>
      </c>
      <c r="F19" s="220">
        <f>ROUND((D19-E19)/D19*C19,2)</f>
        <v/>
      </c>
      <c r="G19" s="220">
        <f>ROUND(C19*0.01,2)</f>
        <v/>
      </c>
      <c r="H19" s="220">
        <f>ROUND((D19-E19)/D19*G19,2)</f>
        <v/>
      </c>
    </row>
    <row r="20" ht="28" customHeight="1" s="132">
      <c r="A20" s="220" t="inlineStr">
        <is>
          <t>A9</t>
        </is>
      </c>
      <c r="B20" s="220" t="inlineStr">
        <is>
          <t>CI2522709117</t>
        </is>
      </c>
      <c r="C20" s="220" t="n">
        <v>170.94</v>
      </c>
      <c r="D20" s="220" t="n">
        <v>60</v>
      </c>
      <c r="E20" s="220" t="n">
        <v>243</v>
      </c>
      <c r="F20" s="220">
        <f>ROUND((D20-E20)/D20*C20,2)</f>
        <v/>
      </c>
      <c r="G20" s="220">
        <f>ROUND(C20*0.01,2)</f>
        <v/>
      </c>
      <c r="H20" s="220">
        <f>ROUND((D20-E20)/D20*G20,2)</f>
        <v/>
      </c>
    </row>
    <row r="21" ht="28" customHeight="1" s="132">
      <c r="A21" s="220" t="inlineStr">
        <is>
          <t>A10</t>
        </is>
      </c>
      <c r="B21" s="220" t="inlineStr">
        <is>
          <t>CI2522719559</t>
        </is>
      </c>
      <c r="C21" s="220" t="n">
        <v>93.53</v>
      </c>
      <c r="D21" s="220" t="n">
        <v>60</v>
      </c>
      <c r="E21" s="220" t="n">
        <v>240</v>
      </c>
      <c r="F21" s="220">
        <f>ROUND((D21-E21)/D21*C21,2)</f>
        <v/>
      </c>
      <c r="G21" s="220">
        <f>ROUND(C21*0.01,2)</f>
        <v/>
      </c>
      <c r="H21" s="220">
        <f>ROUND((D21-E21)/D21*G21,2)</f>
        <v/>
      </c>
    </row>
    <row r="22" ht="28" customHeight="1" s="132">
      <c r="A22" s="220" t="inlineStr">
        <is>
          <t>A11</t>
        </is>
      </c>
      <c r="B22" s="220" t="inlineStr">
        <is>
          <t>CI2522723089</t>
        </is>
      </c>
      <c r="C22" s="220" t="n">
        <v>1191.32</v>
      </c>
      <c r="D22" s="220" t="n">
        <v>60</v>
      </c>
      <c r="E22" s="220" t="n">
        <v>239</v>
      </c>
      <c r="F22" s="220">
        <f>ROUND((D22-E22)/D22*C22,2)</f>
        <v/>
      </c>
      <c r="G22" s="220">
        <f>ROUND(C22*0.01,2)</f>
        <v/>
      </c>
      <c r="H22" s="220">
        <f>ROUND((D22-E22)/D22*G22,2)</f>
        <v/>
      </c>
    </row>
    <row r="23" ht="28" customHeight="1" s="132">
      <c r="A23" s="220" t="inlineStr">
        <is>
          <t>A12</t>
        </is>
      </c>
      <c r="B23" s="220" t="inlineStr">
        <is>
          <t>CI2522741651</t>
        </is>
      </c>
      <c r="C23" s="220" t="n">
        <v>100.74</v>
      </c>
      <c r="D23" s="220" t="n">
        <v>60</v>
      </c>
      <c r="E23" s="220" t="n">
        <v>237</v>
      </c>
      <c r="F23" s="220">
        <f>ROUND((D23-E23)/D23*C23,2)</f>
        <v/>
      </c>
      <c r="G23" s="220">
        <f>ROUND(C23*0.01,2)</f>
        <v/>
      </c>
      <c r="H23" s="220">
        <f>ROUND((D23-E23)/D23*G23,2)</f>
        <v/>
      </c>
    </row>
    <row r="24" ht="28" customHeight="1" s="132">
      <c r="A24" s="220" t="inlineStr">
        <is>
          <t>A13</t>
        </is>
      </c>
      <c r="B24" s="220" t="inlineStr">
        <is>
          <t>CI2522756333</t>
        </is>
      </c>
      <c r="C24" s="220" t="n">
        <v>965.33</v>
      </c>
      <c r="D24" s="220" t="n">
        <v>60</v>
      </c>
      <c r="E24" s="220" t="n">
        <v>233</v>
      </c>
      <c r="F24" s="220">
        <f>ROUND((D24-E24)/D24*C24,2)</f>
        <v/>
      </c>
      <c r="G24" s="220">
        <f>ROUND(C24*0.01,2)</f>
        <v/>
      </c>
      <c r="H24" s="220">
        <f>ROUND((D24-E24)/D24*G24,2)</f>
        <v/>
      </c>
    </row>
    <row r="25" ht="28" customHeight="1" s="132">
      <c r="A25" s="220" t="inlineStr">
        <is>
          <t>A14</t>
        </is>
      </c>
      <c r="B25" s="220" t="inlineStr">
        <is>
          <t>CI2522750499</t>
        </is>
      </c>
      <c r="C25" s="220" t="n">
        <v>809.5700000000001</v>
      </c>
      <c r="D25" s="220" t="n">
        <v>60</v>
      </c>
      <c r="E25" s="220" t="n">
        <v>234</v>
      </c>
      <c r="F25" s="220">
        <f>ROUND((D25-E25)/D25*C25,2)</f>
        <v/>
      </c>
      <c r="G25" s="220">
        <f>ROUND(C25*0.01,2)</f>
        <v/>
      </c>
      <c r="H25" s="220">
        <f>ROUND((D25-E25)/D25*G25,2)</f>
        <v/>
      </c>
    </row>
    <row r="26" ht="28" customHeight="1" s="132">
      <c r="A26" s="220" t="inlineStr">
        <is>
          <t>A15</t>
        </is>
      </c>
      <c r="B26" s="220" t="inlineStr">
        <is>
          <t>CI2522756581</t>
        </is>
      </c>
      <c r="C26" s="220" t="n">
        <v>842.03</v>
      </c>
      <c r="D26" s="220" t="n">
        <v>60</v>
      </c>
      <c r="E26" s="220" t="n">
        <v>233</v>
      </c>
      <c r="F26" s="220">
        <f>ROUND((D26-E26)/D26*C26,2)</f>
        <v/>
      </c>
      <c r="G26" s="220">
        <f>ROUND(C26*0.01,2)</f>
        <v/>
      </c>
      <c r="H26" s="220">
        <f>ROUND((D26-E26)/D26*G26,2)</f>
        <v/>
      </c>
    </row>
    <row r="27" ht="28" customHeight="1" s="132">
      <c r="A27" s="220" t="inlineStr">
        <is>
          <t>A16</t>
        </is>
      </c>
      <c r="B27" s="220" t="inlineStr">
        <is>
          <t>CI2522762611</t>
        </is>
      </c>
      <c r="C27" s="220" t="n">
        <v>182</v>
      </c>
      <c r="D27" s="220" t="n">
        <v>60</v>
      </c>
      <c r="E27" s="220" t="n">
        <v>233</v>
      </c>
      <c r="F27" s="220">
        <f>ROUND((D27-E27)/D27*C27,2)</f>
        <v/>
      </c>
      <c r="G27" s="220">
        <f>ROUND(C27*0.01,2)</f>
        <v/>
      </c>
      <c r="H27" s="220">
        <f>ROUND((D27-E27)/D27*G27,2)</f>
        <v/>
      </c>
    </row>
    <row r="28" ht="28" customHeight="1" s="132">
      <c r="A28" s="220" t="inlineStr">
        <is>
          <t>A17</t>
        </is>
      </c>
      <c r="B28" s="220" t="inlineStr">
        <is>
          <t>CI2522768047</t>
        </is>
      </c>
      <c r="C28" s="220" t="n">
        <v>164.31</v>
      </c>
      <c r="D28" s="220" t="n">
        <v>61</v>
      </c>
      <c r="E28" s="220" t="n">
        <v>232</v>
      </c>
      <c r="F28" s="220">
        <f>ROUND((D28-E28)/D28*C28,2)</f>
        <v/>
      </c>
      <c r="G28" s="220">
        <f>ROUND(C28*0.01,2)</f>
        <v/>
      </c>
      <c r="H28" s="220">
        <f>ROUND((D28-E28)/D28*G28,2)</f>
        <v/>
      </c>
    </row>
    <row r="29" ht="28" customHeight="1" s="132">
      <c r="A29" s="220" t="inlineStr">
        <is>
          <t>A18</t>
        </is>
      </c>
      <c r="B29" s="220" t="inlineStr">
        <is>
          <t>CI2522761384</t>
        </is>
      </c>
      <c r="C29" s="220" t="n">
        <v>684.17</v>
      </c>
      <c r="D29" s="220" t="n">
        <v>60</v>
      </c>
      <c r="E29" s="220" t="n">
        <v>233</v>
      </c>
      <c r="F29" s="220">
        <f>ROUND((D29-E29)/D29*C29,2)</f>
        <v/>
      </c>
      <c r="G29" s="220">
        <f>ROUND(C29*0.01,2)</f>
        <v/>
      </c>
      <c r="H29" s="220">
        <f>ROUND((D29-E29)/D29*G29,2)</f>
        <v/>
      </c>
    </row>
    <row r="30" ht="28" customHeight="1" s="132">
      <c r="A30" s="220" t="inlineStr">
        <is>
          <t>A19</t>
        </is>
      </c>
      <c r="B30" s="220" t="inlineStr">
        <is>
          <t>CI2522788404</t>
        </is>
      </c>
      <c r="C30" s="220" t="n">
        <v>243.86</v>
      </c>
      <c r="D30" s="220" t="n">
        <v>62</v>
      </c>
      <c r="E30" s="220" t="n">
        <v>229</v>
      </c>
      <c r="F30" s="220">
        <f>ROUND((D30-E30)/D30*C30,2)</f>
        <v/>
      </c>
      <c r="G30" s="220">
        <f>ROUND(C30*0.01,2)</f>
        <v/>
      </c>
      <c r="H30" s="220">
        <f>ROUND((D30-E30)/D30*G30,2)</f>
        <v/>
      </c>
    </row>
    <row r="31" ht="28" customHeight="1" s="132">
      <c r="A31" s="220" t="inlineStr">
        <is>
          <t>A20</t>
        </is>
      </c>
      <c r="B31" s="220" t="inlineStr">
        <is>
          <t>CI2522793763</t>
        </is>
      </c>
      <c r="C31" s="220" t="n">
        <v>169.06</v>
      </c>
      <c r="D31" s="220" t="n">
        <v>61</v>
      </c>
      <c r="E31" s="220" t="n">
        <v>229</v>
      </c>
      <c r="F31" s="220">
        <f>ROUND((D31-E31)/D31*C31,2)</f>
        <v/>
      </c>
      <c r="G31" s="220">
        <f>ROUND(C31*0.01,2)</f>
        <v/>
      </c>
      <c r="H31" s="220">
        <f>ROUND((D31-E31)/D31*G31,2)</f>
        <v/>
      </c>
    </row>
    <row r="32" ht="28" customHeight="1" s="132">
      <c r="A32" s="220" t="inlineStr">
        <is>
          <t>A21</t>
        </is>
      </c>
      <c r="B32" s="220" t="inlineStr">
        <is>
          <t>CI2522787319</t>
        </is>
      </c>
      <c r="C32" s="220" t="n">
        <v>192.17</v>
      </c>
      <c r="D32" s="220" t="n">
        <v>60</v>
      </c>
      <c r="E32" s="220" t="n">
        <v>229</v>
      </c>
      <c r="F32" s="220">
        <f>ROUND((D32-E32)/D32*C32,2)</f>
        <v/>
      </c>
      <c r="G32" s="220">
        <f>ROUND(C32*0.01,2)</f>
        <v/>
      </c>
      <c r="H32" s="220">
        <f>ROUND((D32-E32)/D32*G32,2)</f>
        <v/>
      </c>
    </row>
    <row r="33" ht="28" customHeight="1" s="132">
      <c r="A33" s="220" t="inlineStr">
        <is>
          <t>A22</t>
        </is>
      </c>
      <c r="B33" s="220" t="inlineStr">
        <is>
          <t>CI2522814217</t>
        </is>
      </c>
      <c r="C33" s="220" t="n">
        <v>1206.02</v>
      </c>
      <c r="D33" s="220" t="n">
        <v>60</v>
      </c>
      <c r="E33" s="220" t="n">
        <v>225</v>
      </c>
      <c r="F33" s="220">
        <f>ROUND((D33-E33)/D33*C33,2)</f>
        <v/>
      </c>
      <c r="G33" s="220">
        <f>ROUND(C33*0.01,2)</f>
        <v/>
      </c>
      <c r="H33" s="220">
        <f>ROUND((D33-E33)/D33*G33,2)</f>
        <v/>
      </c>
    </row>
    <row r="34" ht="28" customHeight="1" s="132">
      <c r="A34" s="220" t="inlineStr">
        <is>
          <t>A23</t>
        </is>
      </c>
      <c r="B34" s="220" t="inlineStr">
        <is>
          <t>CI2522814707</t>
        </is>
      </c>
      <c r="C34" s="220" t="n">
        <v>1345.81</v>
      </c>
      <c r="D34" s="220" t="n">
        <v>60</v>
      </c>
      <c r="E34" s="220" t="n">
        <v>226</v>
      </c>
      <c r="F34" s="220">
        <f>ROUND((D34-E34)/D34*C34,2)</f>
        <v/>
      </c>
      <c r="G34" s="220">
        <f>ROUND(C34*0.01,2)</f>
        <v/>
      </c>
      <c r="H34" s="220">
        <f>ROUND((D34-E34)/D34*G34,2)</f>
        <v/>
      </c>
    </row>
    <row r="35" ht="28" customHeight="1" s="132">
      <c r="A35" s="220" t="inlineStr">
        <is>
          <t>A24</t>
        </is>
      </c>
      <c r="B35" s="220" t="inlineStr">
        <is>
          <t>CI2522813900</t>
        </is>
      </c>
      <c r="C35" s="220" t="n">
        <v>1376.69</v>
      </c>
      <c r="D35" s="220" t="n">
        <v>60</v>
      </c>
      <c r="E35" s="220" t="n">
        <v>225</v>
      </c>
      <c r="F35" s="220">
        <f>ROUND((D35-E35)/D35*C35,2)</f>
        <v/>
      </c>
      <c r="G35" s="220">
        <f>ROUND(C35*0.01,2)</f>
        <v/>
      </c>
      <c r="H35" s="220">
        <f>ROUND((D35-E35)/D35*G35,2)</f>
        <v/>
      </c>
    </row>
    <row r="36" ht="28" customHeight="1" s="132">
      <c r="A36" s="220" t="inlineStr">
        <is>
          <t>A25</t>
        </is>
      </c>
      <c r="B36" s="220" t="inlineStr">
        <is>
          <t>CI2522832107</t>
        </is>
      </c>
      <c r="C36" s="220" t="n">
        <v>150.21</v>
      </c>
      <c r="D36" s="220" t="n">
        <v>60</v>
      </c>
      <c r="E36" s="220" t="n">
        <v>223</v>
      </c>
      <c r="F36" s="220">
        <f>ROUND((D36-E36)/D36*C36,2)</f>
        <v/>
      </c>
      <c r="G36" s="220">
        <f>ROUND(C36*0.01,2)</f>
        <v/>
      </c>
      <c r="H36" s="220">
        <f>ROUND((D36-E36)/D36*G36,2)</f>
        <v/>
      </c>
    </row>
    <row r="37" ht="28" customHeight="1" s="132">
      <c r="A37" s="220" t="inlineStr">
        <is>
          <t>A26</t>
        </is>
      </c>
      <c r="B37" s="220" t="inlineStr">
        <is>
          <t>CI2522837096</t>
        </is>
      </c>
      <c r="C37" s="220" t="n">
        <v>163.56</v>
      </c>
      <c r="D37" s="220" t="n">
        <v>60</v>
      </c>
      <c r="E37" s="220" t="n">
        <v>223</v>
      </c>
      <c r="F37" s="220">
        <f>ROUND((D37-E37)/D37*C37,2)</f>
        <v/>
      </c>
      <c r="G37" s="220">
        <f>ROUND(C37*0.01,2)</f>
        <v/>
      </c>
      <c r="H37" s="220">
        <f>ROUND((D37-E37)/D37*G37,2)</f>
        <v/>
      </c>
    </row>
    <row r="38" ht="28" customHeight="1" s="132">
      <c r="A38" s="220" t="inlineStr">
        <is>
          <t>A27</t>
        </is>
      </c>
      <c r="B38" s="220" t="inlineStr">
        <is>
          <t>CI2522833185</t>
        </is>
      </c>
      <c r="C38" s="220" t="n">
        <v>174.41</v>
      </c>
      <c r="D38" s="220" t="n">
        <v>60</v>
      </c>
      <c r="E38" s="220" t="n">
        <v>223</v>
      </c>
      <c r="F38" s="220">
        <f>ROUND((D38-E38)/D38*C38,2)</f>
        <v/>
      </c>
      <c r="G38" s="220">
        <f>ROUND(C38*0.01,2)</f>
        <v/>
      </c>
      <c r="H38" s="220">
        <f>ROUND((D38-E38)/D38*G38,2)</f>
        <v/>
      </c>
    </row>
    <row r="39" ht="28" customHeight="1" s="132">
      <c r="A39" s="220" t="inlineStr">
        <is>
          <t>A28</t>
        </is>
      </c>
      <c r="B39" s="220" t="inlineStr">
        <is>
          <t>CI2522848582</t>
        </is>
      </c>
      <c r="C39" s="220" t="n">
        <v>720.58</v>
      </c>
      <c r="D39" s="220" t="n">
        <v>60</v>
      </c>
      <c r="E39" s="220" t="n">
        <v>219</v>
      </c>
      <c r="F39" s="220">
        <f>ROUND((D39-E39)/D39*C39,2)</f>
        <v/>
      </c>
      <c r="G39" s="220">
        <f>ROUND(C39*0.01,2)</f>
        <v/>
      </c>
      <c r="H39" s="220">
        <f>ROUND((D39-E39)/D39*G39,2)</f>
        <v/>
      </c>
    </row>
    <row r="40" ht="28" customHeight="1" s="132">
      <c r="A40" s="220" t="inlineStr">
        <is>
          <t>A29</t>
        </is>
      </c>
      <c r="B40" s="220" t="inlineStr">
        <is>
          <t>CI2522871370</t>
        </is>
      </c>
      <c r="C40" s="220" t="n">
        <v>202.1</v>
      </c>
      <c r="D40" s="220" t="n">
        <v>60</v>
      </c>
      <c r="E40" s="220" t="n">
        <v>218</v>
      </c>
      <c r="F40" s="220">
        <f>ROUND((D40-E40)/D40*C40,2)</f>
        <v/>
      </c>
      <c r="G40" s="220">
        <f>ROUND(C40*0.01,2)</f>
        <v/>
      </c>
      <c r="H40" s="220">
        <f>ROUND((D40-E40)/D40*G40,2)</f>
        <v/>
      </c>
    </row>
    <row r="41" ht="28" customHeight="1" s="132">
      <c r="A41" s="220" t="inlineStr">
        <is>
          <t>A30</t>
        </is>
      </c>
      <c r="B41" s="220" t="inlineStr">
        <is>
          <t>CI2522913407</t>
        </is>
      </c>
      <c r="C41" s="220" t="n">
        <v>176.91</v>
      </c>
      <c r="D41" s="220" t="n">
        <v>30</v>
      </c>
      <c r="E41" s="220" t="n">
        <v>210</v>
      </c>
      <c r="F41" s="220">
        <f>ROUND((D41-E41)/D41*C41,2)</f>
        <v/>
      </c>
      <c r="G41" s="220">
        <f>ROUND(C41*0.01,2)</f>
        <v/>
      </c>
      <c r="H41" s="220">
        <f>ROUND((D41-E41)/D41*G41,2)</f>
        <v/>
      </c>
    </row>
    <row r="42" ht="28" customHeight="1" s="132">
      <c r="A42" s="220" t="inlineStr">
        <is>
          <t>A31</t>
        </is>
      </c>
      <c r="B42" s="220" t="inlineStr">
        <is>
          <t>CI2522913998</t>
        </is>
      </c>
      <c r="C42" s="220" t="n">
        <v>2703.97</v>
      </c>
      <c r="D42" s="220" t="n">
        <v>30</v>
      </c>
      <c r="E42" s="220" t="n">
        <v>210</v>
      </c>
      <c r="F42" s="220">
        <f>ROUND((D42-E42)/D42*C42,2)</f>
        <v/>
      </c>
      <c r="G42" s="220">
        <f>ROUND(C42*0.01,2)</f>
        <v/>
      </c>
      <c r="H42" s="220">
        <f>ROUND((D42-E42)/D42*G42,2)</f>
        <v/>
      </c>
    </row>
    <row r="43" ht="28" customHeight="1" s="132">
      <c r="A43" s="220" t="inlineStr">
        <is>
          <t>A32</t>
        </is>
      </c>
      <c r="B43" s="220" t="inlineStr">
        <is>
          <t>CI2522942135</t>
        </is>
      </c>
      <c r="C43" s="220" t="n">
        <v>221.36</v>
      </c>
      <c r="D43" s="220" t="n">
        <v>60</v>
      </c>
      <c r="E43" s="220" t="n">
        <v>204</v>
      </c>
      <c r="F43" s="220">
        <f>ROUND((D43-E43)/D43*C43,2)</f>
        <v/>
      </c>
      <c r="G43" s="220">
        <f>ROUND(C43*0.01,2)</f>
        <v/>
      </c>
      <c r="H43" s="220">
        <f>ROUND((D43-E43)/D43*G43,2)</f>
        <v/>
      </c>
    </row>
    <row r="44" ht="28" customHeight="1" s="132">
      <c r="A44" s="220" t="inlineStr">
        <is>
          <t>A33</t>
        </is>
      </c>
      <c r="B44" s="220" t="inlineStr">
        <is>
          <t>CI2522945065</t>
        </is>
      </c>
      <c r="C44" s="220" t="n">
        <v>155.51</v>
      </c>
      <c r="D44" s="220" t="n">
        <v>60</v>
      </c>
      <c r="E44" s="220" t="n">
        <v>204</v>
      </c>
      <c r="F44" s="220">
        <f>ROUND((D44-E44)/D44*C44,2)</f>
        <v/>
      </c>
      <c r="G44" s="220">
        <f>ROUND(C44*0.01,2)</f>
        <v/>
      </c>
      <c r="H44" s="220">
        <f>ROUND((D44-E44)/D44*G44,2)</f>
        <v/>
      </c>
    </row>
    <row r="45" ht="28" customHeight="1" s="132">
      <c r="A45" s="220" t="inlineStr">
        <is>
          <t>A34</t>
        </is>
      </c>
      <c r="B45" s="220" t="inlineStr">
        <is>
          <t>CI2522945536</t>
        </is>
      </c>
      <c r="C45" s="220" t="n">
        <v>463.41</v>
      </c>
      <c r="D45" s="220" t="n">
        <v>62</v>
      </c>
      <c r="E45" s="220" t="n">
        <v>204</v>
      </c>
      <c r="F45" s="220">
        <f>ROUND((D45-E45)/D45*C45,2)</f>
        <v/>
      </c>
      <c r="G45" s="220">
        <f>ROUND(C45*0.01,2)</f>
        <v/>
      </c>
      <c r="H45" s="220">
        <f>ROUND((D45-E45)/D45*G45,2)</f>
        <v/>
      </c>
    </row>
    <row r="46" ht="28" customHeight="1" s="132">
      <c r="A46" s="220" t="inlineStr">
        <is>
          <t>A35</t>
        </is>
      </c>
      <c r="B46" s="220" t="inlineStr">
        <is>
          <t>CI2522948621</t>
        </is>
      </c>
      <c r="C46" s="220" t="n">
        <v>232.46</v>
      </c>
      <c r="D46" s="220" t="n">
        <v>60</v>
      </c>
      <c r="E46" s="220" t="n">
        <v>204</v>
      </c>
      <c r="F46" s="220">
        <f>ROUND((D46-E46)/D46*C46,2)</f>
        <v/>
      </c>
      <c r="G46" s="220">
        <f>ROUND(C46*0.01,2)</f>
        <v/>
      </c>
      <c r="H46" s="220">
        <f>ROUND((D46-E46)/D46*G46,2)</f>
        <v/>
      </c>
    </row>
    <row r="47" ht="28" customHeight="1" s="132">
      <c r="A47" s="220" t="inlineStr">
        <is>
          <t>A36</t>
        </is>
      </c>
      <c r="B47" s="220" t="inlineStr">
        <is>
          <t>CI2522939791</t>
        </is>
      </c>
      <c r="C47" s="220" t="n">
        <v>228.48</v>
      </c>
      <c r="D47" s="220" t="n">
        <v>62</v>
      </c>
      <c r="E47" s="220" t="n">
        <v>204</v>
      </c>
      <c r="F47" s="220">
        <f>ROUND((D47-E47)/D47*C47,2)</f>
        <v/>
      </c>
      <c r="G47" s="220">
        <f>ROUND(C47*0.01,2)</f>
        <v/>
      </c>
      <c r="H47" s="220">
        <f>ROUND((D47-E47)/D47*G47,2)</f>
        <v/>
      </c>
    </row>
    <row r="48" ht="28" customHeight="1" s="132">
      <c r="A48" s="220" t="inlineStr">
        <is>
          <t>A37</t>
        </is>
      </c>
      <c r="B48" s="220" t="inlineStr">
        <is>
          <t>CI2522945798</t>
        </is>
      </c>
      <c r="C48" s="220" t="n">
        <v>339.58</v>
      </c>
      <c r="D48" s="220" t="n">
        <v>62</v>
      </c>
      <c r="E48" s="220" t="n">
        <v>204</v>
      </c>
      <c r="F48" s="220">
        <f>ROUND((D48-E48)/D48*C48,2)</f>
        <v/>
      </c>
      <c r="G48" s="220">
        <f>ROUND(C48*0.01,2)</f>
        <v/>
      </c>
      <c r="H48" s="220">
        <f>ROUND((D48-E48)/D48*G48,2)</f>
        <v/>
      </c>
    </row>
    <row r="49" ht="28" customHeight="1" s="132">
      <c r="A49" s="220" t="inlineStr">
        <is>
          <t>A38</t>
        </is>
      </c>
      <c r="B49" s="220" t="inlineStr">
        <is>
          <t>CI2522942414</t>
        </is>
      </c>
      <c r="C49" s="220" t="n">
        <v>377.06</v>
      </c>
      <c r="D49" s="220" t="n">
        <v>60</v>
      </c>
      <c r="E49" s="220" t="n">
        <v>204</v>
      </c>
      <c r="F49" s="220">
        <f>ROUND((D49-E49)/D49*C49,2)</f>
        <v/>
      </c>
      <c r="G49" s="220">
        <f>ROUND(C49*0.01,2)</f>
        <v/>
      </c>
      <c r="H49" s="220">
        <f>ROUND((D49-E49)/D49*G49,2)</f>
        <v/>
      </c>
    </row>
    <row r="50" ht="28" customHeight="1" s="132">
      <c r="A50" s="220" t="inlineStr">
        <is>
          <t>A39</t>
        </is>
      </c>
      <c r="B50" s="220" t="inlineStr">
        <is>
          <t>CI2522942987</t>
        </is>
      </c>
      <c r="C50" s="220" t="n">
        <v>59.52</v>
      </c>
      <c r="D50" s="220" t="n">
        <v>60</v>
      </c>
      <c r="E50" s="220" t="n">
        <v>204</v>
      </c>
      <c r="F50" s="220">
        <f>ROUND((D50-E50)/D50*C50,2)</f>
        <v/>
      </c>
      <c r="G50" s="220">
        <f>ROUND(C50*0.01,2)</f>
        <v/>
      </c>
      <c r="H50" s="220">
        <f>ROUND((D50-E50)/D50*G50,2)</f>
        <v/>
      </c>
    </row>
    <row r="51" ht="28" customHeight="1" s="132">
      <c r="A51" s="220" t="inlineStr">
        <is>
          <t>A40</t>
        </is>
      </c>
      <c r="B51" s="220" t="inlineStr">
        <is>
          <t>CI2522979507</t>
        </is>
      </c>
      <c r="C51" s="220" t="n">
        <v>806.22</v>
      </c>
      <c r="D51" s="220" t="n">
        <v>65</v>
      </c>
      <c r="E51" s="220" t="n">
        <v>197</v>
      </c>
      <c r="F51" s="220">
        <f>ROUND((D51-E51)/D51*C51,2)</f>
        <v/>
      </c>
      <c r="G51" s="220">
        <f>ROUND(C51*0.01,2)</f>
        <v/>
      </c>
      <c r="H51" s="220">
        <f>ROUND((D51-E51)/D51*G51,2)</f>
        <v/>
      </c>
    </row>
    <row r="52" ht="28" customHeight="1" s="132">
      <c r="A52" s="220" t="inlineStr">
        <is>
          <t>A41</t>
        </is>
      </c>
      <c r="B52" s="220" t="inlineStr">
        <is>
          <t>CI2522985448</t>
        </is>
      </c>
      <c r="C52" s="220" t="n">
        <v>906.4299999999999</v>
      </c>
      <c r="D52" s="220" t="n">
        <v>60</v>
      </c>
      <c r="E52" s="220" t="n">
        <v>196</v>
      </c>
      <c r="F52" s="220">
        <f>ROUND((D52-E52)/D52*C52,2)</f>
        <v/>
      </c>
      <c r="G52" s="220">
        <f>ROUND(C52*0.01,2)</f>
        <v/>
      </c>
      <c r="H52" s="220">
        <f>ROUND((D52-E52)/D52*G52,2)</f>
        <v/>
      </c>
    </row>
    <row r="53" ht="28" customHeight="1" s="132">
      <c r="A53" s="220" t="inlineStr">
        <is>
          <t>A42</t>
        </is>
      </c>
      <c r="B53" s="220" t="inlineStr">
        <is>
          <t>CI2522987226</t>
        </is>
      </c>
      <c r="C53" s="220" t="n">
        <v>995.61</v>
      </c>
      <c r="D53" s="220" t="n">
        <v>60</v>
      </c>
      <c r="E53" s="220" t="n">
        <v>197</v>
      </c>
      <c r="F53" s="220">
        <f>ROUND((D53-E53)/D53*C53,2)</f>
        <v/>
      </c>
      <c r="G53" s="220">
        <f>ROUND(C53*0.01,2)</f>
        <v/>
      </c>
      <c r="H53" s="220">
        <f>ROUND((D53-E53)/D53*G53,2)</f>
        <v/>
      </c>
    </row>
    <row r="54" ht="28" customHeight="1" s="132">
      <c r="A54" s="220" t="inlineStr">
        <is>
          <t>A43</t>
        </is>
      </c>
      <c r="B54" s="220" t="inlineStr">
        <is>
          <t>CI2522985925</t>
        </is>
      </c>
      <c r="C54" s="220" t="n">
        <v>212.79</v>
      </c>
      <c r="D54" s="220" t="n">
        <v>60</v>
      </c>
      <c r="E54" s="220" t="n">
        <v>197</v>
      </c>
      <c r="F54" s="220">
        <f>ROUND((D54-E54)/D54*C54,2)</f>
        <v/>
      </c>
      <c r="G54" s="220">
        <f>ROUND(C54*0.01,2)</f>
        <v/>
      </c>
      <c r="H54" s="220">
        <f>ROUND((D54-E54)/D54*G54,2)</f>
        <v/>
      </c>
    </row>
    <row r="55" ht="28" customHeight="1" s="132">
      <c r="A55" s="220" t="inlineStr">
        <is>
          <t>A44</t>
        </is>
      </c>
      <c r="B55" s="220" t="inlineStr">
        <is>
          <t>CI2522986679</t>
        </is>
      </c>
      <c r="C55" s="220" t="n">
        <v>1001.15</v>
      </c>
      <c r="D55" s="220" t="n">
        <v>60</v>
      </c>
      <c r="E55" s="220" t="n">
        <v>197</v>
      </c>
      <c r="F55" s="220">
        <f>ROUND((D55-E55)/D55*C55,2)</f>
        <v/>
      </c>
      <c r="G55" s="220">
        <f>ROUND(C55*0.01,2)</f>
        <v/>
      </c>
      <c r="H55" s="220">
        <f>ROUND((D55-E55)/D55*G55,2)</f>
        <v/>
      </c>
    </row>
    <row r="56" ht="28" customHeight="1" s="132">
      <c r="A56" s="220" t="inlineStr">
        <is>
          <t>A45</t>
        </is>
      </c>
      <c r="B56" s="220" t="inlineStr">
        <is>
          <t>CI2522986352</t>
        </is>
      </c>
      <c r="C56" s="220" t="n">
        <v>247.28</v>
      </c>
      <c r="D56" s="220" t="n">
        <v>30</v>
      </c>
      <c r="E56" s="220" t="n">
        <v>197</v>
      </c>
      <c r="F56" s="220">
        <f>ROUND((D56-E56)/D56*C56,2)</f>
        <v/>
      </c>
      <c r="G56" s="220">
        <f>ROUND(C56*0.01,2)</f>
        <v/>
      </c>
      <c r="H56" s="220">
        <f>ROUND((D56-E56)/D56*G56,2)</f>
        <v/>
      </c>
    </row>
    <row r="57" ht="28" customHeight="1" s="132">
      <c r="A57" s="220" t="inlineStr">
        <is>
          <t>A46</t>
        </is>
      </c>
      <c r="B57" s="220" t="inlineStr">
        <is>
          <t>CI2522999835</t>
        </is>
      </c>
      <c r="C57" s="220" t="n">
        <v>929.67</v>
      </c>
      <c r="D57" s="220" t="n">
        <v>60</v>
      </c>
      <c r="E57" s="220" t="n">
        <v>195</v>
      </c>
      <c r="F57" s="220">
        <f>ROUND((D57-E57)/D57*C57,2)</f>
        <v/>
      </c>
      <c r="G57" s="220">
        <f>ROUND(C57*0.01,2)</f>
        <v/>
      </c>
      <c r="H57" s="220">
        <f>ROUND((D57-E57)/D57*G57,2)</f>
        <v/>
      </c>
    </row>
    <row r="58" ht="28" customHeight="1" s="132">
      <c r="A58" s="220" t="inlineStr">
        <is>
          <t>A47</t>
        </is>
      </c>
      <c r="B58" s="220" t="inlineStr">
        <is>
          <t>CI2523008017</t>
        </is>
      </c>
      <c r="C58" s="220" t="n">
        <v>784.5700000000001</v>
      </c>
      <c r="D58" s="220" t="n">
        <v>60</v>
      </c>
      <c r="E58" s="220" t="n">
        <v>192</v>
      </c>
      <c r="F58" s="220">
        <f>ROUND((D58-E58)/D58*C58,2)</f>
        <v/>
      </c>
      <c r="G58" s="220">
        <f>ROUND(C58*0.01,2)</f>
        <v/>
      </c>
      <c r="H58" s="220">
        <f>ROUND((D58-E58)/D58*G58,2)</f>
        <v/>
      </c>
    </row>
    <row r="59" ht="28" customHeight="1" s="132">
      <c r="A59" s="220" t="inlineStr">
        <is>
          <t>A48</t>
        </is>
      </c>
      <c r="B59" s="220" t="inlineStr">
        <is>
          <t>CI2523008085</t>
        </is>
      </c>
      <c r="C59" s="220" t="n">
        <v>2742.17</v>
      </c>
      <c r="D59" s="220" t="n">
        <v>30</v>
      </c>
      <c r="E59" s="220" t="n">
        <v>194</v>
      </c>
      <c r="F59" s="220">
        <f>ROUND((D59-E59)/D59*C59,2)</f>
        <v/>
      </c>
      <c r="G59" s="220">
        <f>ROUND(C59*0.01,2)</f>
        <v/>
      </c>
      <c r="H59" s="220">
        <f>ROUND((D59-E59)/D59*G59,2)</f>
        <v/>
      </c>
    </row>
    <row r="60" ht="28" customHeight="1" s="132">
      <c r="A60" s="220" t="inlineStr">
        <is>
          <t>A49</t>
        </is>
      </c>
      <c r="B60" s="220" t="inlineStr">
        <is>
          <t>CI2523008063</t>
        </is>
      </c>
      <c r="C60" s="220" t="n">
        <v>994.45</v>
      </c>
      <c r="D60" s="220" t="n">
        <v>60</v>
      </c>
      <c r="E60" s="220" t="n">
        <v>192</v>
      </c>
      <c r="F60" s="220">
        <f>ROUND((D60-E60)/D60*C60,2)</f>
        <v/>
      </c>
      <c r="G60" s="220">
        <f>ROUND(C60*0.01,2)</f>
        <v/>
      </c>
      <c r="H60" s="220">
        <f>ROUND((D60-E60)/D60*G60,2)</f>
        <v/>
      </c>
    </row>
    <row r="61" ht="28" customHeight="1" s="132">
      <c r="A61" s="220" t="inlineStr">
        <is>
          <t>A50</t>
        </is>
      </c>
      <c r="B61" s="220" t="inlineStr">
        <is>
          <t>CI2523010962</t>
        </is>
      </c>
      <c r="C61" s="220" t="n">
        <v>74.93000000000001</v>
      </c>
      <c r="D61" s="220" t="n">
        <v>10</v>
      </c>
      <c r="E61" s="220" t="n">
        <v>192</v>
      </c>
      <c r="F61" s="220">
        <f>ROUND((D61-E61)/D61*C61,2)</f>
        <v/>
      </c>
      <c r="G61" s="220">
        <f>ROUND(C61*0.01,2)</f>
        <v/>
      </c>
      <c r="H61" s="220">
        <f>ROUND((D61-E61)/D61*G61,2)</f>
        <v/>
      </c>
    </row>
    <row r="62" ht="28" customHeight="1" s="132">
      <c r="A62" s="220" t="inlineStr">
        <is>
          <t>A51</t>
        </is>
      </c>
      <c r="B62" s="220" t="inlineStr">
        <is>
          <t>CI2523011110</t>
        </is>
      </c>
      <c r="C62" s="220" t="n">
        <v>259.5</v>
      </c>
      <c r="D62" s="220" t="n">
        <v>30</v>
      </c>
      <c r="E62" s="220" t="n">
        <v>194</v>
      </c>
      <c r="F62" s="220">
        <f>ROUND((D62-E62)/D62*C62,2)</f>
        <v/>
      </c>
      <c r="G62" s="220">
        <f>ROUND(C62*0.01,2)</f>
        <v/>
      </c>
      <c r="H62" s="220">
        <f>ROUND((D62-E62)/D62*G62,2)</f>
        <v/>
      </c>
    </row>
    <row r="63" ht="28" customHeight="1" s="132">
      <c r="A63" s="220" t="inlineStr">
        <is>
          <t>A52</t>
        </is>
      </c>
      <c r="B63" s="220" t="inlineStr">
        <is>
          <t>CI2523014383</t>
        </is>
      </c>
      <c r="C63" s="220" t="n">
        <v>83.84</v>
      </c>
      <c r="D63" s="220" t="n">
        <v>10</v>
      </c>
      <c r="E63" s="220" t="n">
        <v>191</v>
      </c>
      <c r="F63" s="220">
        <f>ROUND((D63-E63)/D63*C63,2)</f>
        <v/>
      </c>
      <c r="G63" s="220">
        <f>ROUND(C63*0.01,2)</f>
        <v/>
      </c>
      <c r="H63" s="220">
        <f>ROUND((D63-E63)/D63*G63,2)</f>
        <v/>
      </c>
    </row>
    <row r="64" ht="28" customHeight="1" s="132">
      <c r="A64" s="220" t="inlineStr">
        <is>
          <t>A53</t>
        </is>
      </c>
      <c r="B64" s="220" t="inlineStr">
        <is>
          <t>CI2523025731</t>
        </is>
      </c>
      <c r="C64" s="220" t="n">
        <v>219.41</v>
      </c>
      <c r="D64" s="220" t="n">
        <v>7</v>
      </c>
      <c r="E64" s="220" t="n">
        <v>190</v>
      </c>
      <c r="F64" s="220">
        <f>ROUND((D64-E64)/D64*C64,2)</f>
        <v/>
      </c>
      <c r="G64" s="220">
        <f>ROUND(C64*0.01,2)</f>
        <v/>
      </c>
      <c r="H64" s="220">
        <f>ROUND((D64-E64)/D64*G64,2)</f>
        <v/>
      </c>
    </row>
    <row r="65" ht="28" customHeight="1" s="132">
      <c r="A65" s="220" t="inlineStr">
        <is>
          <t>A54</t>
        </is>
      </c>
      <c r="B65" s="220" t="inlineStr">
        <is>
          <t>CI2523023750</t>
        </is>
      </c>
      <c r="C65" s="220" t="n">
        <v>304.6</v>
      </c>
      <c r="D65" s="220" t="n">
        <v>21</v>
      </c>
      <c r="E65" s="220" t="n">
        <v>191</v>
      </c>
      <c r="F65" s="220">
        <f>ROUND((D65-E65)/D65*C65,2)</f>
        <v/>
      </c>
      <c r="G65" s="220">
        <f>ROUND(C65*0.01,2)</f>
        <v/>
      </c>
      <c r="H65" s="220">
        <f>ROUND((D65-E65)/D65*G65,2)</f>
        <v/>
      </c>
    </row>
    <row r="66" ht="28" customHeight="1" s="132">
      <c r="A66" s="220" t="inlineStr">
        <is>
          <t>A55</t>
        </is>
      </c>
      <c r="B66" s="220" t="inlineStr">
        <is>
          <t>CI2523029111</t>
        </is>
      </c>
      <c r="C66" s="220" t="n">
        <v>1237.6</v>
      </c>
      <c r="D66" s="220" t="n">
        <v>60</v>
      </c>
      <c r="E66" s="220" t="n">
        <v>192</v>
      </c>
      <c r="F66" s="220">
        <f>ROUND((D66-E66)/D66*C66,2)</f>
        <v/>
      </c>
      <c r="G66" s="220">
        <f>ROUND(C66*0.01,2)</f>
        <v/>
      </c>
      <c r="H66" s="220">
        <f>ROUND((D66-E66)/D66*G66,2)</f>
        <v/>
      </c>
    </row>
    <row r="67" ht="28" customHeight="1" s="132">
      <c r="A67" s="220" t="inlineStr">
        <is>
          <t>A56</t>
        </is>
      </c>
      <c r="B67" s="220" t="inlineStr">
        <is>
          <t>CI2523036949</t>
        </is>
      </c>
      <c r="C67" s="220" t="n">
        <v>50.34</v>
      </c>
      <c r="D67" s="220" t="n">
        <v>30</v>
      </c>
      <c r="E67" s="220" t="n">
        <v>189</v>
      </c>
      <c r="F67" s="220">
        <f>ROUND((D67-E67)/D67*C67,2)</f>
        <v/>
      </c>
      <c r="G67" s="220">
        <f>ROUND(C67*0.01,2)</f>
        <v/>
      </c>
      <c r="H67" s="220">
        <f>ROUND((D67-E67)/D67*G67,2)</f>
        <v/>
      </c>
    </row>
    <row r="68" ht="28" customHeight="1" s="132">
      <c r="A68" s="220" t="inlineStr">
        <is>
          <t>A57</t>
        </is>
      </c>
      <c r="B68" s="220" t="inlineStr">
        <is>
          <t>CI2523053118</t>
        </is>
      </c>
      <c r="C68" s="220" t="n">
        <v>1822.65</v>
      </c>
      <c r="D68" s="220" t="n">
        <v>31</v>
      </c>
      <c r="E68" s="220" t="n">
        <v>189</v>
      </c>
      <c r="F68" s="220">
        <f>ROUND((D68-E68)/D68*C68,2)</f>
        <v/>
      </c>
      <c r="G68" s="220">
        <f>ROUND(C68*0.01,2)</f>
        <v/>
      </c>
      <c r="H68" s="220">
        <f>ROUND((D68-E68)/D68*G68,2)</f>
        <v/>
      </c>
    </row>
    <row r="69" ht="28" customHeight="1" s="132">
      <c r="A69" s="220" t="inlineStr">
        <is>
          <t>A58</t>
        </is>
      </c>
      <c r="B69" s="220" t="inlineStr">
        <is>
          <t>CI2523068157</t>
        </is>
      </c>
      <c r="C69" s="220" t="n">
        <v>223.21</v>
      </c>
      <c r="D69" s="220" t="n">
        <v>60</v>
      </c>
      <c r="E69" s="220" t="n">
        <v>183</v>
      </c>
      <c r="F69" s="220">
        <f>ROUND((D69-E69)/D69*C69,2)</f>
        <v/>
      </c>
      <c r="G69" s="220">
        <f>ROUND(C69*0.01,2)</f>
        <v/>
      </c>
      <c r="H69" s="220">
        <f>ROUND((D69-E69)/D69*G69,2)</f>
        <v/>
      </c>
    </row>
    <row r="70" ht="28" customHeight="1" s="132">
      <c r="A70" s="220" t="inlineStr">
        <is>
          <t>A59</t>
        </is>
      </c>
      <c r="B70" s="220" t="inlineStr">
        <is>
          <t>CI2523060575</t>
        </is>
      </c>
      <c r="C70" s="220" t="n">
        <v>76.64</v>
      </c>
      <c r="D70" s="220" t="n">
        <v>10</v>
      </c>
      <c r="E70" s="220" t="n">
        <v>184</v>
      </c>
      <c r="F70" s="220">
        <f>ROUND((D70-E70)/D70*C70,2)</f>
        <v/>
      </c>
      <c r="G70" s="220">
        <f>ROUND(C70*0.01,2)</f>
        <v/>
      </c>
      <c r="H70" s="220">
        <f>ROUND((D70-E70)/D70*G70,2)</f>
        <v/>
      </c>
    </row>
    <row r="71" ht="28" customHeight="1" s="132">
      <c r="A71" s="220" t="inlineStr">
        <is>
          <t>A60</t>
        </is>
      </c>
      <c r="B71" s="220" t="inlineStr">
        <is>
          <t>CI2523080689</t>
        </is>
      </c>
      <c r="C71" s="220" t="n">
        <v>73.94</v>
      </c>
      <c r="D71" s="220" t="n">
        <v>30</v>
      </c>
      <c r="E71" s="220" t="n">
        <v>183</v>
      </c>
      <c r="F71" s="220">
        <f>ROUND((D71-E71)/D71*C71,2)</f>
        <v/>
      </c>
      <c r="G71" s="220">
        <f>ROUND(C71*0.01,2)</f>
        <v/>
      </c>
      <c r="H71" s="220">
        <f>ROUND((D71-E71)/D71*G71,2)</f>
        <v/>
      </c>
    </row>
    <row r="72" ht="28" customHeight="1" s="132">
      <c r="A72" s="220" t="inlineStr">
        <is>
          <t>A61</t>
        </is>
      </c>
      <c r="B72" s="220" t="inlineStr">
        <is>
          <t>CI2523094765</t>
        </is>
      </c>
      <c r="C72" s="220" t="n">
        <v>140.27</v>
      </c>
      <c r="D72" s="220" t="n">
        <v>30</v>
      </c>
      <c r="E72" s="220" t="n">
        <v>182</v>
      </c>
      <c r="F72" s="220">
        <f>ROUND((D72-E72)/D72*C72,2)</f>
        <v/>
      </c>
      <c r="G72" s="220">
        <f>ROUND(C72*0.01,2)</f>
        <v/>
      </c>
      <c r="H72" s="220">
        <f>ROUND((D72-E72)/D72*G72,2)</f>
        <v/>
      </c>
    </row>
    <row r="73" ht="28" customHeight="1" s="132">
      <c r="A73" s="220" t="inlineStr">
        <is>
          <t>A62</t>
        </is>
      </c>
      <c r="B73" s="220" t="inlineStr">
        <is>
          <t>CI2523098230</t>
        </is>
      </c>
      <c r="C73" s="220" t="n">
        <v>140.66</v>
      </c>
      <c r="D73" s="220" t="n">
        <v>30</v>
      </c>
      <c r="E73" s="220" t="n">
        <v>183</v>
      </c>
      <c r="F73" s="220">
        <f>ROUND((D73-E73)/D73*C73,2)</f>
        <v/>
      </c>
      <c r="G73" s="220">
        <f>ROUND(C73*0.01,2)</f>
        <v/>
      </c>
      <c r="H73" s="220">
        <f>ROUND((D73-E73)/D73*G73,2)</f>
        <v/>
      </c>
    </row>
    <row r="74" ht="28" customHeight="1" s="132">
      <c r="A74" s="220" t="inlineStr">
        <is>
          <t>A63</t>
        </is>
      </c>
      <c r="B74" s="220" t="inlineStr">
        <is>
          <t>CI2523097753</t>
        </is>
      </c>
      <c r="C74" s="220" t="n">
        <v>72.62</v>
      </c>
      <c r="D74" s="220" t="n">
        <v>30</v>
      </c>
      <c r="E74" s="220" t="n">
        <v>183</v>
      </c>
      <c r="F74" s="220">
        <f>ROUND((D74-E74)/D74*C74,2)</f>
        <v/>
      </c>
      <c r="G74" s="220">
        <f>ROUND(C74*0.01,2)</f>
        <v/>
      </c>
      <c r="H74" s="220">
        <f>ROUND((D74-E74)/D74*G74,2)</f>
        <v/>
      </c>
    </row>
    <row r="75" ht="28" customHeight="1" s="132">
      <c r="A75" s="220" t="inlineStr">
        <is>
          <t>A64</t>
        </is>
      </c>
      <c r="B75" s="220" t="inlineStr">
        <is>
          <t>CI2523097060</t>
        </is>
      </c>
      <c r="C75" s="220" t="n">
        <v>71.95999999999999</v>
      </c>
      <c r="D75" s="220" t="n">
        <v>31</v>
      </c>
      <c r="E75" s="220" t="n">
        <v>184</v>
      </c>
      <c r="F75" s="220">
        <f>ROUND((D75-E75)/D75*C75,2)</f>
        <v/>
      </c>
      <c r="G75" s="220">
        <f>ROUND(C75*0.01,2)</f>
        <v/>
      </c>
      <c r="H75" s="220">
        <f>ROUND((D75-E75)/D75*G75,2)</f>
        <v/>
      </c>
    </row>
    <row r="76" ht="28" customHeight="1" s="132">
      <c r="A76" s="220" t="inlineStr">
        <is>
          <t>A65</t>
        </is>
      </c>
      <c r="B76" s="220" t="inlineStr">
        <is>
          <t>CI2523104973</t>
        </is>
      </c>
      <c r="C76" s="220" t="n">
        <v>76.66</v>
      </c>
      <c r="D76" s="220" t="n">
        <v>10</v>
      </c>
      <c r="E76" s="220" t="n">
        <v>182</v>
      </c>
      <c r="F76" s="220">
        <f>ROUND((D76-E76)/D76*C76,2)</f>
        <v/>
      </c>
      <c r="G76" s="220">
        <f>ROUND(C76*0.01,2)</f>
        <v/>
      </c>
      <c r="H76" s="220">
        <f>ROUND((D76-E76)/D76*G76,2)</f>
        <v/>
      </c>
    </row>
    <row r="77" ht="28" customHeight="1" s="132">
      <c r="A77" s="220" t="inlineStr">
        <is>
          <t>A66</t>
        </is>
      </c>
      <c r="B77" s="220" t="inlineStr">
        <is>
          <t>CI2523098480</t>
        </is>
      </c>
      <c r="C77" s="220" t="n">
        <v>256.98</v>
      </c>
      <c r="D77" s="220" t="n">
        <v>14</v>
      </c>
      <c r="E77" s="220" t="n">
        <v>182</v>
      </c>
      <c r="F77" s="220">
        <f>ROUND((D77-E77)/D77*C77,2)</f>
        <v/>
      </c>
      <c r="G77" s="220">
        <f>ROUND(C77*0.01,2)</f>
        <v/>
      </c>
      <c r="H77" s="220">
        <f>ROUND((D77-E77)/D77*G77,2)</f>
        <v/>
      </c>
    </row>
    <row r="78" ht="28" customHeight="1" s="132">
      <c r="A78" s="220" t="inlineStr">
        <is>
          <t>A67</t>
        </is>
      </c>
      <c r="B78" s="220" t="inlineStr">
        <is>
          <t>CI2523106540</t>
        </is>
      </c>
      <c r="C78" s="220" t="n">
        <v>212.5</v>
      </c>
      <c r="D78" s="220" t="n">
        <v>2</v>
      </c>
      <c r="E78" s="220" t="n">
        <v>181</v>
      </c>
      <c r="F78" s="220">
        <f>ROUND((D78-E78)/D78*C78,2)</f>
        <v/>
      </c>
      <c r="G78" s="220">
        <f>ROUND(C78*0.01,2)</f>
        <v/>
      </c>
      <c r="H78" s="220">
        <f>ROUND((D78-E78)/D78*G78,2)</f>
        <v/>
      </c>
    </row>
    <row r="79" ht="28" customHeight="1" s="132">
      <c r="A79" s="220" t="inlineStr">
        <is>
          <t>A68</t>
        </is>
      </c>
      <c r="B79" s="220" t="inlineStr">
        <is>
          <t>CI2523119344</t>
        </is>
      </c>
      <c r="C79" s="220" t="n">
        <v>76.61</v>
      </c>
      <c r="D79" s="220" t="n">
        <v>10</v>
      </c>
      <c r="E79" s="220" t="n">
        <v>180</v>
      </c>
      <c r="F79" s="220">
        <f>ROUND((D79-E79)/D79*C79,2)</f>
        <v/>
      </c>
      <c r="G79" s="220">
        <f>ROUND(C79*0.01,2)</f>
        <v/>
      </c>
      <c r="H79" s="220">
        <f>ROUND((D79-E79)/D79*G79,2)</f>
        <v/>
      </c>
    </row>
    <row r="80" ht="28" customHeight="1" s="132">
      <c r="A80" s="220" t="inlineStr">
        <is>
          <t>A69</t>
        </is>
      </c>
      <c r="B80" s="220" t="inlineStr">
        <is>
          <t>CI2523119379</t>
        </is>
      </c>
      <c r="C80" s="220" t="n">
        <v>756.15</v>
      </c>
      <c r="D80" s="220" t="n">
        <v>10</v>
      </c>
      <c r="E80" s="220" t="n">
        <v>178</v>
      </c>
      <c r="F80" s="220">
        <f>ROUND((D80-E80)/D80*C80,2)</f>
        <v/>
      </c>
      <c r="G80" s="220">
        <f>ROUND(C80*0.01,2)</f>
        <v/>
      </c>
      <c r="H80" s="220">
        <f>ROUND((D80-E80)/D80*G80,2)</f>
        <v/>
      </c>
    </row>
    <row r="81" ht="28" customHeight="1" s="132">
      <c r="A81" s="220" t="inlineStr">
        <is>
          <t>A70</t>
        </is>
      </c>
      <c r="B81" s="220" t="inlineStr">
        <is>
          <t>CI2523128960</t>
        </is>
      </c>
      <c r="C81" s="220" t="n">
        <v>714.17</v>
      </c>
      <c r="D81" s="220" t="n">
        <v>7</v>
      </c>
      <c r="E81" s="220" t="n">
        <v>177</v>
      </c>
      <c r="F81" s="220">
        <f>ROUND((D81-E81)/D81*C81,2)</f>
        <v/>
      </c>
      <c r="G81" s="220">
        <f>ROUND(C81*0.01,2)</f>
        <v/>
      </c>
      <c r="H81" s="220">
        <f>ROUND((D81-E81)/D81*G81,2)</f>
        <v/>
      </c>
    </row>
    <row r="82" ht="28" customHeight="1" s="132">
      <c r="A82" s="220" t="inlineStr">
        <is>
          <t>A71</t>
        </is>
      </c>
      <c r="B82" s="220" t="inlineStr">
        <is>
          <t>CI2523148944</t>
        </is>
      </c>
      <c r="C82" s="220" t="n">
        <v>170.06</v>
      </c>
      <c r="D82" s="220" t="n">
        <v>31</v>
      </c>
      <c r="E82" s="220" t="n">
        <v>175</v>
      </c>
      <c r="F82" s="220">
        <f>ROUND((D82-E82)/D82*C82,2)</f>
        <v/>
      </c>
      <c r="G82" s="220">
        <f>ROUND(C82*0.01,2)</f>
        <v/>
      </c>
      <c r="H82" s="220">
        <f>ROUND((D82-E82)/D82*G82,2)</f>
        <v/>
      </c>
    </row>
    <row r="83" ht="28" customHeight="1" s="132">
      <c r="A83" s="220" t="inlineStr">
        <is>
          <t>A72</t>
        </is>
      </c>
      <c r="B83" s="220" t="inlineStr">
        <is>
          <t>CI2523142057</t>
        </is>
      </c>
      <c r="C83" s="220" t="n">
        <v>980.6900000000001</v>
      </c>
      <c r="D83" s="220" t="n">
        <v>60</v>
      </c>
      <c r="E83" s="220" t="n">
        <v>176</v>
      </c>
      <c r="F83" s="220">
        <f>ROUND((D83-E83)/D83*C83,2)</f>
        <v/>
      </c>
      <c r="G83" s="220">
        <f>ROUND(C83*0.01,2)</f>
        <v/>
      </c>
      <c r="H83" s="220">
        <f>ROUND((D83-E83)/D83*G83,2)</f>
        <v/>
      </c>
    </row>
    <row r="84" ht="28" customHeight="1" s="132">
      <c r="A84" s="220" t="inlineStr">
        <is>
          <t>A73</t>
        </is>
      </c>
      <c r="B84" s="220" t="inlineStr">
        <is>
          <t>CI2523146072</t>
        </is>
      </c>
      <c r="C84" s="220" t="n">
        <v>104.31</v>
      </c>
      <c r="D84" s="220" t="n">
        <v>31</v>
      </c>
      <c r="E84" s="220" t="n">
        <v>176</v>
      </c>
      <c r="F84" s="220">
        <f>ROUND((D84-E84)/D84*C84,2)</f>
        <v/>
      </c>
      <c r="G84" s="220">
        <f>ROUND(C84*0.01,2)</f>
        <v/>
      </c>
      <c r="H84" s="220">
        <f>ROUND((D84-E84)/D84*G84,2)</f>
        <v/>
      </c>
    </row>
    <row r="85" ht="28" customHeight="1" s="132">
      <c r="A85" s="220" t="inlineStr">
        <is>
          <t>A74</t>
        </is>
      </c>
      <c r="B85" s="220" t="inlineStr">
        <is>
          <t>CI2523149221</t>
        </is>
      </c>
      <c r="C85" s="220" t="n">
        <v>867.12</v>
      </c>
      <c r="D85" s="220" t="n">
        <v>8</v>
      </c>
      <c r="E85" s="220" t="n">
        <v>175</v>
      </c>
      <c r="F85" s="220">
        <f>ROUND((D85-E85)/D85*C85,2)</f>
        <v/>
      </c>
      <c r="G85" s="220">
        <f>ROUND(C85*0.01,2)</f>
        <v/>
      </c>
      <c r="H85" s="220">
        <f>ROUND((D85-E85)/D85*G85,2)</f>
        <v/>
      </c>
    </row>
    <row r="86" ht="28" customHeight="1" s="132">
      <c r="A86" s="220" t="inlineStr">
        <is>
          <t>A75</t>
        </is>
      </c>
      <c r="B86" s="220" t="inlineStr">
        <is>
          <t>CI2523155515</t>
        </is>
      </c>
      <c r="C86" s="220" t="n">
        <v>77.34999999999999</v>
      </c>
      <c r="D86" s="220" t="n">
        <v>41</v>
      </c>
      <c r="E86" s="220" t="n">
        <v>174</v>
      </c>
      <c r="F86" s="220">
        <f>ROUND((D86-E86)/D86*C86,2)</f>
        <v/>
      </c>
      <c r="G86" s="220">
        <f>ROUND(C86*0.01,2)</f>
        <v/>
      </c>
      <c r="H86" s="220">
        <f>ROUND((D86-E86)/D86*G86,2)</f>
        <v/>
      </c>
    </row>
    <row r="87" ht="28" customHeight="1" s="132">
      <c r="A87" s="220" t="inlineStr">
        <is>
          <t>A76</t>
        </is>
      </c>
      <c r="B87" s="220" t="inlineStr">
        <is>
          <t>CI2523055051</t>
        </is>
      </c>
      <c r="C87" s="220" t="n">
        <v>164.73</v>
      </c>
      <c r="D87" s="220" t="n">
        <v>30</v>
      </c>
      <c r="E87" s="220" t="n">
        <v>175</v>
      </c>
      <c r="F87" s="220">
        <f>ROUND((D87-E87)/D87*C87,2)</f>
        <v/>
      </c>
      <c r="G87" s="220">
        <f>ROUND(C87*0.01,2)</f>
        <v/>
      </c>
      <c r="H87" s="220">
        <f>ROUND((D87-E87)/D87*G87,2)</f>
        <v/>
      </c>
    </row>
    <row r="88" ht="28" customHeight="1" s="132">
      <c r="A88" s="220" t="inlineStr">
        <is>
          <t>A77</t>
        </is>
      </c>
      <c r="B88" s="220" t="inlineStr">
        <is>
          <t>CI2523179312</t>
        </is>
      </c>
      <c r="C88" s="220" t="n">
        <v>149.92</v>
      </c>
      <c r="D88" s="220" t="n">
        <v>60</v>
      </c>
      <c r="E88" s="220" t="n">
        <v>173</v>
      </c>
      <c r="F88" s="220">
        <f>ROUND((D88-E88)/D88*C88,2)</f>
        <v/>
      </c>
      <c r="G88" s="220">
        <f>ROUND(C88*0.01,2)</f>
        <v/>
      </c>
      <c r="H88" s="220">
        <f>ROUND((D88-E88)/D88*G88,2)</f>
        <v/>
      </c>
    </row>
    <row r="89" ht="28" customHeight="1" s="132">
      <c r="A89" s="220" t="inlineStr">
        <is>
          <t>A78</t>
        </is>
      </c>
      <c r="B89" s="220" t="inlineStr">
        <is>
          <t>CI2523179172</t>
        </is>
      </c>
      <c r="C89" s="220" t="n">
        <v>267.38</v>
      </c>
      <c r="D89" s="220" t="n">
        <v>60</v>
      </c>
      <c r="E89" s="220" t="n">
        <v>173</v>
      </c>
      <c r="F89" s="220">
        <f>ROUND((D89-E89)/D89*C89,2)</f>
        <v/>
      </c>
      <c r="G89" s="220">
        <f>ROUND(C89*0.01,2)</f>
        <v/>
      </c>
      <c r="H89" s="220">
        <f>ROUND((D89-E89)/D89*G89,2)</f>
        <v/>
      </c>
    </row>
    <row r="90" ht="28" customHeight="1" s="132">
      <c r="A90" s="220" t="inlineStr">
        <is>
          <t>A79</t>
        </is>
      </c>
      <c r="B90" s="220" t="inlineStr">
        <is>
          <t>CI2523179450</t>
        </is>
      </c>
      <c r="C90" s="220" t="n">
        <v>210.2</v>
      </c>
      <c r="D90" s="220" t="n">
        <v>60</v>
      </c>
      <c r="E90" s="220" t="n">
        <v>173</v>
      </c>
      <c r="F90" s="220">
        <f>ROUND((D90-E90)/D90*C90,2)</f>
        <v/>
      </c>
      <c r="G90" s="220">
        <f>ROUND(C90*0.01,2)</f>
        <v/>
      </c>
      <c r="H90" s="220">
        <f>ROUND((D90-E90)/D90*G90,2)</f>
        <v/>
      </c>
    </row>
    <row r="91" ht="28" customHeight="1" s="132">
      <c r="A91" s="220" t="inlineStr">
        <is>
          <t>A80</t>
        </is>
      </c>
      <c r="B91" s="220" t="inlineStr">
        <is>
          <t>CI2523179581</t>
        </is>
      </c>
      <c r="C91" s="220" t="n">
        <v>213.29</v>
      </c>
      <c r="D91" s="220" t="n">
        <v>60</v>
      </c>
      <c r="E91" s="220" t="n">
        <v>173</v>
      </c>
      <c r="F91" s="220">
        <f>ROUND((D91-E91)/D91*C91,2)</f>
        <v/>
      </c>
      <c r="G91" s="220">
        <f>ROUND(C91*0.01,2)</f>
        <v/>
      </c>
      <c r="H91" s="220">
        <f>ROUND((D91-E91)/D91*G91,2)</f>
        <v/>
      </c>
    </row>
    <row r="92" ht="28" customHeight="1" s="132">
      <c r="A92" s="220" t="inlineStr">
        <is>
          <t>A81</t>
        </is>
      </c>
      <c r="B92" s="220" t="inlineStr">
        <is>
          <t>CI2523179095</t>
        </is>
      </c>
      <c r="C92" s="220" t="n">
        <v>192.93</v>
      </c>
      <c r="D92" s="220" t="n">
        <v>30</v>
      </c>
      <c r="E92" s="220" t="n">
        <v>173</v>
      </c>
      <c r="F92" s="220">
        <f>ROUND((D92-E92)/D92*C92,2)</f>
        <v/>
      </c>
      <c r="G92" s="220">
        <f>ROUND(C92*0.01,2)</f>
        <v/>
      </c>
      <c r="H92" s="220">
        <f>ROUND((D92-E92)/D92*G92,2)</f>
        <v/>
      </c>
    </row>
    <row r="93" ht="28" customHeight="1" s="132">
      <c r="A93" s="220" t="inlineStr">
        <is>
          <t>A82</t>
        </is>
      </c>
      <c r="B93" s="220" t="inlineStr">
        <is>
          <t>CI2523181209</t>
        </is>
      </c>
      <c r="C93" s="220" t="n">
        <v>226.07</v>
      </c>
      <c r="D93" s="220" t="n">
        <v>32</v>
      </c>
      <c r="E93" s="220" t="n">
        <v>173</v>
      </c>
      <c r="F93" s="220">
        <f>ROUND((D93-E93)/D93*C93,2)</f>
        <v/>
      </c>
      <c r="G93" s="220">
        <f>ROUND(C93*0.01,2)</f>
        <v/>
      </c>
      <c r="H93" s="220">
        <f>ROUND((D93-E93)/D93*G93,2)</f>
        <v/>
      </c>
    </row>
    <row r="94" ht="28" customHeight="1" s="132">
      <c r="A94" s="220" t="inlineStr">
        <is>
          <t>A83</t>
        </is>
      </c>
      <c r="B94" s="220" t="inlineStr">
        <is>
          <t>CI2523176255</t>
        </is>
      </c>
      <c r="C94" s="220" t="n">
        <v>75.92</v>
      </c>
      <c r="D94" s="220" t="n">
        <v>10</v>
      </c>
      <c r="E94" s="220" t="n">
        <v>171</v>
      </c>
      <c r="F94" s="220">
        <f>ROUND((D94-E94)/D94*C94,2)</f>
        <v/>
      </c>
      <c r="G94" s="220">
        <f>ROUND(C94*0.01,2)</f>
        <v/>
      </c>
      <c r="H94" s="220">
        <f>ROUND((D94-E94)/D94*G94,2)</f>
        <v/>
      </c>
    </row>
    <row r="95" ht="28" customHeight="1" s="132">
      <c r="A95" s="220" t="inlineStr">
        <is>
          <t>A84</t>
        </is>
      </c>
      <c r="B95" s="220" t="inlineStr">
        <is>
          <t>CI2523179519</t>
        </is>
      </c>
      <c r="C95" s="220" t="n">
        <v>99.48</v>
      </c>
      <c r="D95" s="220" t="n">
        <v>30</v>
      </c>
      <c r="E95" s="220" t="n">
        <v>173</v>
      </c>
      <c r="F95" s="220">
        <f>ROUND((D95-E95)/D95*C95,2)</f>
        <v/>
      </c>
      <c r="G95" s="220">
        <f>ROUND(C95*0.01,2)</f>
        <v/>
      </c>
      <c r="H95" s="220">
        <f>ROUND((D95-E95)/D95*G95,2)</f>
        <v/>
      </c>
    </row>
    <row r="96" ht="28" customHeight="1" s="132">
      <c r="A96" s="220" t="inlineStr">
        <is>
          <t>A85</t>
        </is>
      </c>
      <c r="B96" s="220" t="inlineStr">
        <is>
          <t>CI2523180036</t>
        </is>
      </c>
      <c r="C96" s="220" t="n">
        <v>187.53</v>
      </c>
      <c r="D96" s="220" t="n">
        <v>60</v>
      </c>
      <c r="E96" s="220" t="n">
        <v>173</v>
      </c>
      <c r="F96" s="220">
        <f>ROUND((D96-E96)/D96*C96,2)</f>
        <v/>
      </c>
      <c r="G96" s="220">
        <f>ROUND(C96*0.01,2)</f>
        <v/>
      </c>
      <c r="H96" s="220">
        <f>ROUND((D96-E96)/D96*G96,2)</f>
        <v/>
      </c>
    </row>
    <row r="97" ht="28" customHeight="1" s="132">
      <c r="A97" s="220" t="inlineStr">
        <is>
          <t>A86</t>
        </is>
      </c>
      <c r="B97" s="220" t="inlineStr">
        <is>
          <t>CI2523180172</t>
        </is>
      </c>
      <c r="C97" s="220" t="n">
        <v>250.09</v>
      </c>
      <c r="D97" s="220" t="n">
        <v>30</v>
      </c>
      <c r="E97" s="220" t="n">
        <v>173</v>
      </c>
      <c r="F97" s="220">
        <f>ROUND((D97-E97)/D97*C97,2)</f>
        <v/>
      </c>
      <c r="G97" s="220">
        <f>ROUND(C97*0.01,2)</f>
        <v/>
      </c>
      <c r="H97" s="220">
        <f>ROUND((D97-E97)/D97*G97,2)</f>
        <v/>
      </c>
    </row>
    <row r="98" ht="28" customHeight="1" s="132">
      <c r="A98" s="220" t="inlineStr">
        <is>
          <t>A87</t>
        </is>
      </c>
      <c r="B98" s="220" t="inlineStr">
        <is>
          <t>CI2523180165</t>
        </is>
      </c>
      <c r="C98" s="220" t="n">
        <v>170.72</v>
      </c>
      <c r="D98" s="220" t="n">
        <v>60</v>
      </c>
      <c r="E98" s="220" t="n">
        <v>173</v>
      </c>
      <c r="F98" s="220">
        <f>ROUND((D98-E98)/D98*C98,2)</f>
        <v/>
      </c>
      <c r="G98" s="220">
        <f>ROUND(C98*0.01,2)</f>
        <v/>
      </c>
      <c r="H98" s="220">
        <f>ROUND((D98-E98)/D98*G98,2)</f>
        <v/>
      </c>
    </row>
    <row r="99" ht="28" customHeight="1" s="132">
      <c r="A99" s="220" t="inlineStr">
        <is>
          <t>A88</t>
        </is>
      </c>
      <c r="B99" s="220" t="inlineStr">
        <is>
          <t>CI2523179763</t>
        </is>
      </c>
      <c r="C99" s="220" t="n">
        <v>149.4</v>
      </c>
      <c r="D99" s="220" t="n">
        <v>30</v>
      </c>
      <c r="E99" s="220" t="n">
        <v>173</v>
      </c>
      <c r="F99" s="220">
        <f>ROUND((D99-E99)/D99*C99,2)</f>
        <v/>
      </c>
      <c r="G99" s="220">
        <f>ROUND(C99*0.01,2)</f>
        <v/>
      </c>
      <c r="H99" s="220">
        <f>ROUND((D99-E99)/D99*G99,2)</f>
        <v/>
      </c>
    </row>
    <row r="100" ht="28" customHeight="1" s="132">
      <c r="A100" s="220" t="inlineStr">
        <is>
          <t>A89</t>
        </is>
      </c>
      <c r="B100" s="220" t="inlineStr">
        <is>
          <t>CI2523179932</t>
        </is>
      </c>
      <c r="C100" s="220" t="n">
        <v>195.59</v>
      </c>
      <c r="D100" s="220" t="n">
        <v>30</v>
      </c>
      <c r="E100" s="220" t="n">
        <v>173</v>
      </c>
      <c r="F100" s="220">
        <f>ROUND((D100-E100)/D100*C100,2)</f>
        <v/>
      </c>
      <c r="G100" s="220">
        <f>ROUND(C100*0.01,2)</f>
        <v/>
      </c>
      <c r="H100" s="220">
        <f>ROUND((D100-E100)/D100*G100,2)</f>
        <v/>
      </c>
    </row>
    <row r="101" ht="28" customHeight="1" s="132">
      <c r="A101" s="220" t="inlineStr">
        <is>
          <t>A90</t>
        </is>
      </c>
      <c r="B101" s="220" t="inlineStr">
        <is>
          <t>CI2523180293</t>
        </is>
      </c>
      <c r="C101" s="220" t="n">
        <v>221.14</v>
      </c>
      <c r="D101" s="220" t="n">
        <v>30</v>
      </c>
      <c r="E101" s="220" t="n">
        <v>173</v>
      </c>
      <c r="F101" s="220">
        <f>ROUND((D101-E101)/D101*C101,2)</f>
        <v/>
      </c>
      <c r="G101" s="220">
        <f>ROUND(C101*0.01,2)</f>
        <v/>
      </c>
      <c r="H101" s="220">
        <f>ROUND((D101-E101)/D101*G101,2)</f>
        <v/>
      </c>
    </row>
    <row r="102" ht="28" customHeight="1" s="132">
      <c r="A102" s="220" t="inlineStr">
        <is>
          <t>A91</t>
        </is>
      </c>
      <c r="B102" s="220" t="inlineStr">
        <is>
          <t>CI2523178830</t>
        </is>
      </c>
      <c r="C102" s="220" t="n">
        <v>162.31</v>
      </c>
      <c r="D102" s="220" t="n">
        <v>60</v>
      </c>
      <c r="E102" s="220" t="n">
        <v>173</v>
      </c>
      <c r="F102" s="220">
        <f>ROUND((D102-E102)/D102*C102,2)</f>
        <v/>
      </c>
      <c r="G102" s="220">
        <f>ROUND(C102*0.01,2)</f>
        <v/>
      </c>
      <c r="H102" s="220">
        <f>ROUND((D102-E102)/D102*G102,2)</f>
        <v/>
      </c>
    </row>
    <row r="103" ht="28" customHeight="1" s="132">
      <c r="A103" s="220" t="inlineStr">
        <is>
          <t>A92</t>
        </is>
      </c>
      <c r="B103" s="220" t="inlineStr">
        <is>
          <t>CI2523188033</t>
        </is>
      </c>
      <c r="C103" s="220" t="n">
        <v>1491.91</v>
      </c>
      <c r="D103" s="220" t="n">
        <v>48</v>
      </c>
      <c r="E103" s="220" t="n">
        <v>170</v>
      </c>
      <c r="F103" s="220">
        <f>ROUND((D103-E103)/D103*C103,2)</f>
        <v/>
      </c>
      <c r="G103" s="220">
        <f>ROUND(C103*0.01,2)</f>
        <v/>
      </c>
      <c r="H103" s="220">
        <f>ROUND((D103-E103)/D103*G103,2)</f>
        <v/>
      </c>
    </row>
    <row r="104" ht="28" customHeight="1" s="132">
      <c r="A104" s="220" t="inlineStr">
        <is>
          <t>A93</t>
        </is>
      </c>
      <c r="B104" s="220" t="inlineStr">
        <is>
          <t>CI2523187490</t>
        </is>
      </c>
      <c r="C104" s="220" t="n">
        <v>608.21</v>
      </c>
      <c r="D104" s="220" t="n">
        <v>7</v>
      </c>
      <c r="E104" s="220" t="n">
        <v>170</v>
      </c>
      <c r="F104" s="220">
        <f>ROUND((D104-E104)/D104*C104,2)</f>
        <v/>
      </c>
      <c r="G104" s="220">
        <f>ROUND(C104*0.01,2)</f>
        <v/>
      </c>
      <c r="H104" s="220">
        <f>ROUND((D104-E104)/D104*G104,2)</f>
        <v/>
      </c>
    </row>
    <row r="105" ht="28" customHeight="1" s="132">
      <c r="A105" s="220" t="inlineStr">
        <is>
          <t>A94</t>
        </is>
      </c>
      <c r="B105" s="220" t="inlineStr">
        <is>
          <t>CI2523202518</t>
        </is>
      </c>
      <c r="C105" s="220" t="n">
        <v>251.16</v>
      </c>
      <c r="D105" s="220" t="n">
        <v>40</v>
      </c>
      <c r="E105" s="220" t="n">
        <v>168</v>
      </c>
      <c r="F105" s="220">
        <f>ROUND((D105-E105)/D105*C105,2)</f>
        <v/>
      </c>
      <c r="G105" s="220">
        <f>ROUND(C105*0.01,2)</f>
        <v/>
      </c>
      <c r="H105" s="220">
        <f>ROUND((D105-E105)/D105*G105,2)</f>
        <v/>
      </c>
    </row>
    <row r="106" ht="28" customHeight="1" s="132">
      <c r="A106" s="220" t="inlineStr">
        <is>
          <t>A95</t>
        </is>
      </c>
      <c r="B106" s="220" t="inlineStr">
        <is>
          <t>CI2523211419</t>
        </is>
      </c>
      <c r="C106" s="220" t="n">
        <v>355.47</v>
      </c>
      <c r="D106" s="220" t="n">
        <v>87</v>
      </c>
      <c r="E106" s="220" t="n">
        <v>167</v>
      </c>
      <c r="F106" s="220">
        <f>ROUND((D106-E106)/D106*C106,2)</f>
        <v/>
      </c>
      <c r="G106" s="220">
        <f>ROUND(C106*0.01,2)</f>
        <v/>
      </c>
      <c r="H106" s="220">
        <f>ROUND((D106-E106)/D106*G106,2)</f>
        <v/>
      </c>
    </row>
    <row r="107" ht="28" customHeight="1" s="132">
      <c r="A107" s="220" t="inlineStr">
        <is>
          <t>A96</t>
        </is>
      </c>
      <c r="B107" s="220" t="inlineStr">
        <is>
          <t>CI2523214012</t>
        </is>
      </c>
      <c r="C107" s="220" t="n">
        <v>267.33</v>
      </c>
      <c r="D107" s="220" t="n">
        <v>90</v>
      </c>
      <c r="E107" s="220" t="n">
        <v>164</v>
      </c>
      <c r="F107" s="220">
        <f>ROUND((D107-E107)/D107*C107,2)</f>
        <v/>
      </c>
      <c r="G107" s="220">
        <f>ROUND(C107*0.01,2)</f>
        <v/>
      </c>
      <c r="H107" s="220">
        <f>ROUND((D107-E107)/D107*G107,2)</f>
        <v/>
      </c>
    </row>
    <row r="108" ht="28" customHeight="1" s="132">
      <c r="A108" s="220" t="inlineStr">
        <is>
          <t>A97</t>
        </is>
      </c>
      <c r="B108" s="220" t="inlineStr">
        <is>
          <t>CI2523231947</t>
        </is>
      </c>
      <c r="C108" s="220" t="n">
        <v>5532.45</v>
      </c>
      <c r="D108" s="220" t="n">
        <v>32</v>
      </c>
      <c r="E108" s="220" t="n">
        <v>163</v>
      </c>
      <c r="F108" s="220">
        <f>ROUND((D108-E108)/D108*C108,2)</f>
        <v/>
      </c>
      <c r="G108" s="220">
        <f>ROUND(C108*0.01,2)</f>
        <v/>
      </c>
      <c r="H108" s="220">
        <f>ROUND((D108-E108)/D108*G108,2)</f>
        <v/>
      </c>
    </row>
    <row r="109" ht="28" customHeight="1" s="132">
      <c r="A109" s="220" t="inlineStr">
        <is>
          <t>A98</t>
        </is>
      </c>
      <c r="B109" s="220" t="inlineStr">
        <is>
          <t>CI2523242172</t>
        </is>
      </c>
      <c r="C109" s="220" t="n">
        <v>188.49</v>
      </c>
      <c r="D109" s="220" t="n">
        <v>60</v>
      </c>
      <c r="E109" s="220" t="n">
        <v>161</v>
      </c>
      <c r="F109" s="220">
        <f>ROUND((D109-E109)/D109*C109,2)</f>
        <v/>
      </c>
      <c r="G109" s="220">
        <f>ROUND(C109*0.01,2)</f>
        <v/>
      </c>
      <c r="H109" s="220">
        <f>ROUND((D109-E109)/D109*G109,2)</f>
        <v/>
      </c>
    </row>
    <row r="110" ht="28" customHeight="1" s="132">
      <c r="A110" s="220" t="inlineStr">
        <is>
          <t>A99</t>
        </is>
      </c>
      <c r="B110" s="220" t="inlineStr">
        <is>
          <t>CI2523241892</t>
        </is>
      </c>
      <c r="C110" s="220" t="n">
        <v>213.56</v>
      </c>
      <c r="D110" s="220" t="n">
        <v>60</v>
      </c>
      <c r="E110" s="220" t="n">
        <v>161</v>
      </c>
      <c r="F110" s="220">
        <f>ROUND((D110-E110)/D110*C110,2)</f>
        <v/>
      </c>
      <c r="G110" s="220">
        <f>ROUND(C110*0.01,2)</f>
        <v/>
      </c>
      <c r="H110" s="220">
        <f>ROUND((D110-E110)/D110*G110,2)</f>
        <v/>
      </c>
    </row>
    <row r="111" ht="28" customHeight="1" s="132">
      <c r="A111" s="220" t="inlineStr">
        <is>
          <t>A100</t>
        </is>
      </c>
      <c r="B111" s="220" t="inlineStr">
        <is>
          <t>CI2523242059</t>
        </is>
      </c>
      <c r="C111" s="220" t="n">
        <v>211.28</v>
      </c>
      <c r="D111" s="220" t="n">
        <v>60</v>
      </c>
      <c r="E111" s="220" t="n">
        <v>161</v>
      </c>
      <c r="F111" s="220">
        <f>ROUND((D111-E111)/D111*C111,2)</f>
        <v/>
      </c>
      <c r="G111" s="220">
        <f>ROUND(C111*0.01,2)</f>
        <v/>
      </c>
      <c r="H111" s="220">
        <f>ROUND((D111-E111)/D111*G111,2)</f>
        <v/>
      </c>
    </row>
    <row r="112" ht="28" customHeight="1" s="132">
      <c r="A112" s="220" t="inlineStr">
        <is>
          <t>A101</t>
        </is>
      </c>
      <c r="B112" s="220" t="inlineStr">
        <is>
          <t>CI2523260636</t>
        </is>
      </c>
      <c r="C112" s="220" t="n">
        <v>93.13</v>
      </c>
      <c r="D112" s="220" t="n">
        <v>10</v>
      </c>
      <c r="E112" s="220" t="n">
        <v>159</v>
      </c>
      <c r="F112" s="220">
        <f>ROUND((D112-E112)/D112*C112,2)</f>
        <v/>
      </c>
      <c r="G112" s="220">
        <f>ROUND(C112*0.01,2)</f>
        <v/>
      </c>
      <c r="H112" s="220">
        <f>ROUND((D112-E112)/D112*G112,2)</f>
        <v/>
      </c>
    </row>
    <row r="113" ht="28" customHeight="1" s="132">
      <c r="A113" s="220" t="inlineStr">
        <is>
          <t>A102</t>
        </is>
      </c>
      <c r="B113" s="220" t="inlineStr">
        <is>
          <t>CI2523264189</t>
        </is>
      </c>
      <c r="C113" s="220" t="n">
        <v>1357.35</v>
      </c>
      <c r="D113" s="220" t="n">
        <v>7</v>
      </c>
      <c r="E113" s="220" t="n">
        <v>160</v>
      </c>
      <c r="F113" s="220">
        <f>ROUND((D113-E113)/D113*C113,2)</f>
        <v/>
      </c>
      <c r="G113" s="220">
        <f>ROUND(C113*0.01,2)</f>
        <v/>
      </c>
      <c r="H113" s="220">
        <f>ROUND((D113-E113)/D113*G113,2)</f>
        <v/>
      </c>
    </row>
    <row r="114" ht="28" customHeight="1" s="132">
      <c r="A114" s="220" t="inlineStr">
        <is>
          <t>A103</t>
        </is>
      </c>
      <c r="B114" s="220" t="inlineStr">
        <is>
          <t>CI2523264750</t>
        </is>
      </c>
      <c r="C114" s="220" t="n">
        <v>287.86</v>
      </c>
      <c r="D114" s="220" t="n">
        <v>60</v>
      </c>
      <c r="E114" s="220" t="n">
        <v>160</v>
      </c>
      <c r="F114" s="220">
        <f>ROUND((D114-E114)/D114*C114,2)</f>
        <v/>
      </c>
      <c r="G114" s="220">
        <f>ROUND(C114*0.01,2)</f>
        <v/>
      </c>
      <c r="H114" s="220">
        <f>ROUND((D114-E114)/D114*G114,2)</f>
        <v/>
      </c>
    </row>
    <row r="115" ht="28" customHeight="1" s="132">
      <c r="A115" s="220" t="inlineStr">
        <is>
          <t>A104</t>
        </is>
      </c>
      <c r="B115" s="220" t="inlineStr">
        <is>
          <t>CI2523258801</t>
        </is>
      </c>
      <c r="C115" s="220" t="n">
        <v>287.86</v>
      </c>
      <c r="D115" s="220" t="n">
        <v>32</v>
      </c>
      <c r="E115" s="220" t="n">
        <v>160</v>
      </c>
      <c r="F115" s="220">
        <f>ROUND((D115-E115)/D115*C115,2)</f>
        <v/>
      </c>
      <c r="G115" s="220">
        <f>ROUND(C115*0.01,2)</f>
        <v/>
      </c>
      <c r="H115" s="220">
        <f>ROUND((D115-E115)/D115*G115,2)</f>
        <v/>
      </c>
    </row>
    <row r="116" ht="28" customHeight="1" s="132">
      <c r="A116" s="220" t="inlineStr">
        <is>
          <t>A105</t>
        </is>
      </c>
      <c r="B116" s="220" t="inlineStr">
        <is>
          <t>CI2523275552</t>
        </is>
      </c>
      <c r="C116" s="220" t="n">
        <v>189.32</v>
      </c>
      <c r="D116" s="220" t="n">
        <v>10</v>
      </c>
      <c r="E116" s="220" t="n">
        <v>157</v>
      </c>
      <c r="F116" s="220">
        <f>ROUND((D116-E116)/D116*C116,2)</f>
        <v/>
      </c>
      <c r="G116" s="220">
        <f>ROUND(C116*0.01,2)</f>
        <v/>
      </c>
      <c r="H116" s="220">
        <f>ROUND((D116-E116)/D116*G116,2)</f>
        <v/>
      </c>
    </row>
    <row r="117" ht="28" customHeight="1" s="132">
      <c r="A117" s="220" t="inlineStr">
        <is>
          <t>A106</t>
        </is>
      </c>
      <c r="B117" s="220" t="inlineStr">
        <is>
          <t>CI2523333560</t>
        </is>
      </c>
      <c r="C117" s="220" t="n">
        <v>86.23999999999999</v>
      </c>
      <c r="D117" s="220" t="n">
        <v>30</v>
      </c>
      <c r="E117" s="220" t="n">
        <v>149</v>
      </c>
      <c r="F117" s="220">
        <f>ROUND((D117-E117)/D117*C117,2)</f>
        <v/>
      </c>
      <c r="G117" s="220">
        <f>ROUND(C117*0.01,2)</f>
        <v/>
      </c>
      <c r="H117" s="220">
        <f>ROUND((D117-E117)/D117*G117,2)</f>
        <v/>
      </c>
    </row>
    <row r="118" ht="28" customHeight="1" s="132">
      <c r="A118" s="220" t="inlineStr">
        <is>
          <t>A107</t>
        </is>
      </c>
      <c r="B118" s="220" t="inlineStr">
        <is>
          <t>CI2523326680</t>
        </is>
      </c>
      <c r="C118" s="220" t="n">
        <v>75.26000000000001</v>
      </c>
      <c r="D118" s="220" t="n">
        <v>7</v>
      </c>
      <c r="E118" s="220" t="n">
        <v>150</v>
      </c>
      <c r="F118" s="220">
        <f>ROUND((D118-E118)/D118*C118,2)</f>
        <v/>
      </c>
      <c r="G118" s="220">
        <f>ROUND(C118*0.01,2)</f>
        <v/>
      </c>
      <c r="H118" s="220">
        <f>ROUND((D118-E118)/D118*G118,2)</f>
        <v/>
      </c>
    </row>
    <row r="119" ht="28" customHeight="1" s="132">
      <c r="A119" s="220" t="inlineStr">
        <is>
          <t>A108</t>
        </is>
      </c>
      <c r="B119" s="220" t="inlineStr">
        <is>
          <t>CI2523340082</t>
        </is>
      </c>
      <c r="C119" s="220" t="n">
        <v>76.59</v>
      </c>
      <c r="D119" s="220" t="n">
        <v>60</v>
      </c>
      <c r="E119" s="220" t="n">
        <v>152</v>
      </c>
      <c r="F119" s="220">
        <f>ROUND((D119-E119)/D119*C119,2)</f>
        <v/>
      </c>
      <c r="G119" s="220">
        <f>ROUND(C119*0.01,2)</f>
        <v/>
      </c>
      <c r="H119" s="220">
        <f>ROUND((D119-E119)/D119*G119,2)</f>
        <v/>
      </c>
    </row>
    <row r="120" ht="28" customHeight="1" s="132">
      <c r="A120" s="220" t="inlineStr">
        <is>
          <t>A109</t>
        </is>
      </c>
      <c r="B120" s="220" t="inlineStr">
        <is>
          <t>CI2523342931</t>
        </is>
      </c>
      <c r="C120" s="220" t="n">
        <v>1353.4</v>
      </c>
      <c r="D120" s="220" t="n">
        <v>11</v>
      </c>
      <c r="E120" s="220" t="n">
        <v>149</v>
      </c>
      <c r="F120" s="220">
        <f>ROUND((D120-E120)/D120*C120,2)</f>
        <v/>
      </c>
      <c r="G120" s="220">
        <f>ROUND(C120*0.01,2)</f>
        <v/>
      </c>
      <c r="H120" s="220">
        <f>ROUND((D120-E120)/D120*G120,2)</f>
        <v/>
      </c>
    </row>
    <row r="121" ht="28" customHeight="1" s="132">
      <c r="A121" s="220" t="inlineStr">
        <is>
          <t>A110</t>
        </is>
      </c>
      <c r="B121" s="220" t="inlineStr">
        <is>
          <t>CI2523338405</t>
        </is>
      </c>
      <c r="C121" s="220" t="n">
        <v>67.15000000000001</v>
      </c>
      <c r="D121" s="220" t="n">
        <v>30</v>
      </c>
      <c r="E121" s="220" t="n">
        <v>149</v>
      </c>
      <c r="F121" s="220">
        <f>ROUND((D121-E121)/D121*C121,2)</f>
        <v/>
      </c>
      <c r="G121" s="220">
        <f>ROUND(C121*0.01,2)</f>
        <v/>
      </c>
      <c r="H121" s="220">
        <f>ROUND((D121-E121)/D121*G121,2)</f>
        <v/>
      </c>
    </row>
    <row r="122" ht="28" customHeight="1" s="132">
      <c r="A122" s="220" t="inlineStr">
        <is>
          <t>A111</t>
        </is>
      </c>
      <c r="B122" s="220" t="inlineStr">
        <is>
          <t>CI2523344853</t>
        </is>
      </c>
      <c r="C122" s="220" t="n">
        <v>74.23</v>
      </c>
      <c r="D122" s="220" t="n">
        <v>30</v>
      </c>
      <c r="E122" s="220" t="n">
        <v>149</v>
      </c>
      <c r="F122" s="220">
        <f>ROUND((D122-E122)/D122*C122,2)</f>
        <v/>
      </c>
      <c r="G122" s="220">
        <f>ROUND(C122*0.01,2)</f>
        <v/>
      </c>
      <c r="H122" s="220">
        <f>ROUND((D122-E122)/D122*G122,2)</f>
        <v/>
      </c>
    </row>
    <row r="123" ht="28" customHeight="1" s="132">
      <c r="A123" s="220" t="inlineStr">
        <is>
          <t>A112</t>
        </is>
      </c>
      <c r="B123" s="220" t="inlineStr">
        <is>
          <t>CI2523345901</t>
        </is>
      </c>
      <c r="C123" s="220" t="n">
        <v>107.39</v>
      </c>
      <c r="D123" s="220" t="n">
        <v>30</v>
      </c>
      <c r="E123" s="220" t="n">
        <v>149</v>
      </c>
      <c r="F123" s="220">
        <f>ROUND((D123-E123)/D123*C123,2)</f>
        <v/>
      </c>
      <c r="G123" s="220">
        <f>ROUND(C123*0.01,2)</f>
        <v/>
      </c>
      <c r="H123" s="220">
        <f>ROUND((D123-E123)/D123*G123,2)</f>
        <v/>
      </c>
    </row>
    <row r="124" ht="28" customHeight="1" s="132">
      <c r="A124" s="220" t="inlineStr">
        <is>
          <t>A113</t>
        </is>
      </c>
      <c r="B124" s="220" t="inlineStr">
        <is>
          <t>CI2523345871</t>
        </is>
      </c>
      <c r="C124" s="220" t="n">
        <v>67.15000000000001</v>
      </c>
      <c r="D124" s="220" t="n">
        <v>30</v>
      </c>
      <c r="E124" s="220" t="n">
        <v>149</v>
      </c>
      <c r="F124" s="220">
        <f>ROUND((D124-E124)/D124*C124,2)</f>
        <v/>
      </c>
      <c r="G124" s="220">
        <f>ROUND(C124*0.01,2)</f>
        <v/>
      </c>
      <c r="H124" s="220">
        <f>ROUND((D124-E124)/D124*G124,2)</f>
        <v/>
      </c>
    </row>
    <row r="125" ht="28" customHeight="1" s="132">
      <c r="A125" s="220" t="inlineStr">
        <is>
          <t>A114</t>
        </is>
      </c>
      <c r="B125" s="220" t="inlineStr">
        <is>
          <t>CI2523349021</t>
        </is>
      </c>
      <c r="C125" s="220" t="n">
        <v>1955.09</v>
      </c>
      <c r="D125" s="220" t="n">
        <v>30</v>
      </c>
      <c r="E125" s="220" t="n">
        <v>149</v>
      </c>
      <c r="F125" s="220">
        <f>ROUND((D125-E125)/D125*C125,2)</f>
        <v/>
      </c>
      <c r="G125" s="220">
        <f>ROUND(C125*0.01,2)</f>
        <v/>
      </c>
      <c r="H125" s="220">
        <f>ROUND((D125-E125)/D125*G125,2)</f>
        <v/>
      </c>
    </row>
    <row r="126" ht="28" customHeight="1" s="132">
      <c r="A126" s="220" t="inlineStr">
        <is>
          <t>A115</t>
        </is>
      </c>
      <c r="B126" s="220" t="inlineStr">
        <is>
          <t>CI2523358186</t>
        </is>
      </c>
      <c r="C126" s="220" t="n">
        <v>820.6900000000001</v>
      </c>
      <c r="D126" s="220" t="n">
        <v>50</v>
      </c>
      <c r="E126" s="220" t="n">
        <v>148</v>
      </c>
      <c r="F126" s="220">
        <f>ROUND((D126-E126)/D126*C126,2)</f>
        <v/>
      </c>
      <c r="G126" s="220">
        <f>ROUND(C126*0.01,2)</f>
        <v/>
      </c>
      <c r="H126" s="220">
        <f>ROUND((D126-E126)/D126*G126,2)</f>
        <v/>
      </c>
    </row>
    <row r="127" ht="28" customHeight="1" s="132">
      <c r="A127" s="220" t="inlineStr">
        <is>
          <t>A116</t>
        </is>
      </c>
      <c r="B127" s="220" t="inlineStr">
        <is>
          <t>CI2523361122</t>
        </is>
      </c>
      <c r="C127" s="220" t="n">
        <v>71.03</v>
      </c>
      <c r="D127" s="220" t="n">
        <v>30</v>
      </c>
      <c r="E127" s="220" t="n">
        <v>146</v>
      </c>
      <c r="F127" s="220">
        <f>ROUND((D127-E127)/D127*C127,2)</f>
        <v/>
      </c>
      <c r="G127" s="220">
        <f>ROUND(C127*0.01,2)</f>
        <v/>
      </c>
      <c r="H127" s="220">
        <f>ROUND((D127-E127)/D127*G127,2)</f>
        <v/>
      </c>
    </row>
    <row r="128" ht="28" customHeight="1" s="132">
      <c r="A128" s="220" t="inlineStr">
        <is>
          <t>A117</t>
        </is>
      </c>
      <c r="B128" s="220" t="inlineStr">
        <is>
          <t>CI2523361282</t>
        </is>
      </c>
      <c r="C128" s="220" t="n">
        <v>68.90000000000001</v>
      </c>
      <c r="D128" s="220" t="n">
        <v>30</v>
      </c>
      <c r="E128" s="220" t="n">
        <v>146</v>
      </c>
      <c r="F128" s="220">
        <f>ROUND((D128-E128)/D128*C128,2)</f>
        <v/>
      </c>
      <c r="G128" s="220">
        <f>ROUND(C128*0.01,2)</f>
        <v/>
      </c>
      <c r="H128" s="220">
        <f>ROUND((D128-E128)/D128*G128,2)</f>
        <v/>
      </c>
    </row>
    <row r="129" ht="28" customHeight="1" s="132">
      <c r="A129" s="220" t="inlineStr">
        <is>
          <t>A118</t>
        </is>
      </c>
      <c r="B129" s="220" t="inlineStr">
        <is>
          <t>CI2523361518</t>
        </is>
      </c>
      <c r="C129" s="220" t="n">
        <v>62.41</v>
      </c>
      <c r="D129" s="220" t="n">
        <v>32</v>
      </c>
      <c r="E129" s="220" t="n">
        <v>146</v>
      </c>
      <c r="F129" s="220">
        <f>ROUND((D129-E129)/D129*C129,2)</f>
        <v/>
      </c>
      <c r="G129" s="220">
        <f>ROUND(C129*0.01,2)</f>
        <v/>
      </c>
      <c r="H129" s="220">
        <f>ROUND((D129-E129)/D129*G129,2)</f>
        <v/>
      </c>
    </row>
    <row r="130" ht="28" customHeight="1" s="132">
      <c r="A130" s="220" t="inlineStr">
        <is>
          <t>A119</t>
        </is>
      </c>
      <c r="B130" s="220" t="inlineStr">
        <is>
          <t>CI2523360754</t>
        </is>
      </c>
      <c r="C130" s="220" t="n">
        <v>79.66</v>
      </c>
      <c r="D130" s="220" t="n">
        <v>30</v>
      </c>
      <c r="E130" s="220" t="n">
        <v>146</v>
      </c>
      <c r="F130" s="220">
        <f>ROUND((D130-E130)/D130*C130,2)</f>
        <v/>
      </c>
      <c r="G130" s="220">
        <f>ROUND(C130*0.01,2)</f>
        <v/>
      </c>
      <c r="H130" s="220">
        <f>ROUND((D130-E130)/D130*G130,2)</f>
        <v/>
      </c>
    </row>
    <row r="131" ht="28" customHeight="1" s="132">
      <c r="A131" s="220" t="inlineStr">
        <is>
          <t>A120</t>
        </is>
      </c>
      <c r="B131" s="220" t="inlineStr">
        <is>
          <t>CI2523359762</t>
        </is>
      </c>
      <c r="C131" s="220" t="n">
        <v>111.85</v>
      </c>
      <c r="D131" s="220" t="n">
        <v>7</v>
      </c>
      <c r="E131" s="220" t="n">
        <v>147</v>
      </c>
      <c r="F131" s="220">
        <f>ROUND((D131-E131)/D131*C131,2)</f>
        <v/>
      </c>
      <c r="G131" s="220">
        <f>ROUND(C131*0.01,2)</f>
        <v/>
      </c>
      <c r="H131" s="220">
        <f>ROUND((D131-E131)/D131*G131,2)</f>
        <v/>
      </c>
    </row>
    <row r="132" ht="28" customHeight="1" s="132">
      <c r="A132" s="220" t="inlineStr">
        <is>
          <t>A121</t>
        </is>
      </c>
      <c r="B132" s="220" t="inlineStr">
        <is>
          <t>CI2523372001</t>
        </is>
      </c>
      <c r="C132" s="220" t="n">
        <v>69.09</v>
      </c>
      <c r="D132" s="220" t="n">
        <v>30</v>
      </c>
      <c r="E132" s="220" t="n">
        <v>145</v>
      </c>
      <c r="F132" s="220">
        <f>ROUND((D132-E132)/D132*C132,2)</f>
        <v/>
      </c>
      <c r="G132" s="220">
        <f>ROUND(C132*0.01,2)</f>
        <v/>
      </c>
      <c r="H132" s="220">
        <f>ROUND((D132-E132)/D132*G132,2)</f>
        <v/>
      </c>
    </row>
    <row r="133" ht="28" customHeight="1" s="132">
      <c r="A133" s="220" t="inlineStr">
        <is>
          <t>A122</t>
        </is>
      </c>
      <c r="B133" s="220" t="inlineStr">
        <is>
          <t>CI2523372174</t>
        </is>
      </c>
      <c r="C133" s="220" t="n">
        <v>68.72</v>
      </c>
      <c r="D133" s="220" t="n">
        <v>30</v>
      </c>
      <c r="E133" s="220" t="n">
        <v>145</v>
      </c>
      <c r="F133" s="220">
        <f>ROUND((D133-E133)/D133*C133,2)</f>
        <v/>
      </c>
      <c r="G133" s="220">
        <f>ROUND(C133*0.01,2)</f>
        <v/>
      </c>
      <c r="H133" s="220">
        <f>ROUND((D133-E133)/D133*G133,2)</f>
        <v/>
      </c>
    </row>
    <row r="134" ht="28" customHeight="1" s="132">
      <c r="A134" s="220" t="inlineStr">
        <is>
          <t>A123</t>
        </is>
      </c>
      <c r="B134" s="220" t="inlineStr">
        <is>
          <t>CI2523371182</t>
        </is>
      </c>
      <c r="C134" s="220" t="n">
        <v>7610.53</v>
      </c>
      <c r="D134" s="220" t="n">
        <v>92</v>
      </c>
      <c r="E134" s="220" t="n">
        <v>146</v>
      </c>
      <c r="F134" s="220">
        <f>ROUND((D134-E134)/D134*C134,2)</f>
        <v/>
      </c>
      <c r="G134" s="220">
        <f>ROUND(C134*0.01,2)</f>
        <v/>
      </c>
      <c r="H134" s="220">
        <f>ROUND((D134-E134)/D134*G134,2)</f>
        <v/>
      </c>
    </row>
    <row r="135" ht="28" customHeight="1" s="132">
      <c r="A135" s="220" t="inlineStr">
        <is>
          <t>A124</t>
        </is>
      </c>
      <c r="B135" s="220" t="inlineStr">
        <is>
          <t>CI2523371380</t>
        </is>
      </c>
      <c r="C135" s="220" t="n">
        <v>6800</v>
      </c>
      <c r="D135" s="220" t="n">
        <v>184</v>
      </c>
      <c r="E135" s="220" t="n">
        <v>146</v>
      </c>
      <c r="F135" s="220">
        <f>ROUND((D135-E135)/D135*C135,2)</f>
        <v/>
      </c>
      <c r="G135" s="220">
        <f>ROUND(C135*0.01,2)</f>
        <v/>
      </c>
      <c r="H135" s="220">
        <f>ROUND((D135-E135)/D135*G135,2)</f>
        <v/>
      </c>
    </row>
    <row r="136" ht="28" customHeight="1" s="132">
      <c r="A136" s="220" t="inlineStr">
        <is>
          <t>A125</t>
        </is>
      </c>
      <c r="B136" s="220" t="inlineStr">
        <is>
          <t>CI2523371908</t>
        </is>
      </c>
      <c r="C136" s="220" t="n">
        <v>50.58</v>
      </c>
      <c r="D136" s="220" t="n">
        <v>16</v>
      </c>
      <c r="E136" s="220" t="n">
        <v>145</v>
      </c>
      <c r="F136" s="220">
        <f>ROUND((D136-E136)/D136*C136,2)</f>
        <v/>
      </c>
      <c r="G136" s="220">
        <f>ROUND(C136*0.01,2)</f>
        <v/>
      </c>
      <c r="H136" s="220">
        <f>ROUND((D136-E136)/D136*G136,2)</f>
        <v/>
      </c>
    </row>
    <row r="137" ht="28" customHeight="1" s="132">
      <c r="A137" s="220" t="inlineStr">
        <is>
          <t>A126</t>
        </is>
      </c>
      <c r="B137" s="220" t="inlineStr">
        <is>
          <t>CI2523365363</t>
        </is>
      </c>
      <c r="C137" s="220" t="n">
        <v>68.64</v>
      </c>
      <c r="D137" s="220" t="n">
        <v>30</v>
      </c>
      <c r="E137" s="220" t="n">
        <v>146</v>
      </c>
      <c r="F137" s="220">
        <f>ROUND((D137-E137)/D137*C137,2)</f>
        <v/>
      </c>
      <c r="G137" s="220">
        <f>ROUND(C137*0.01,2)</f>
        <v/>
      </c>
      <c r="H137" s="220">
        <f>ROUND((D137-E137)/D137*G137,2)</f>
        <v/>
      </c>
    </row>
    <row r="138" ht="28" customHeight="1" s="132">
      <c r="A138" s="220" t="inlineStr">
        <is>
          <t>A127</t>
        </is>
      </c>
      <c r="B138" s="220" t="inlineStr">
        <is>
          <t>CI2523372458</t>
        </is>
      </c>
      <c r="C138" s="220" t="n">
        <v>69.05</v>
      </c>
      <c r="D138" s="220" t="n">
        <v>30</v>
      </c>
      <c r="E138" s="220" t="n">
        <v>145</v>
      </c>
      <c r="F138" s="220">
        <f>ROUND((D138-E138)/D138*C138,2)</f>
        <v/>
      </c>
      <c r="G138" s="220">
        <f>ROUND(C138*0.01,2)</f>
        <v/>
      </c>
      <c r="H138" s="220">
        <f>ROUND((D138-E138)/D138*G138,2)</f>
        <v/>
      </c>
    </row>
    <row r="139" ht="28" customHeight="1" s="132">
      <c r="A139" s="220" t="inlineStr">
        <is>
          <t>A128</t>
        </is>
      </c>
      <c r="B139" s="220" t="inlineStr">
        <is>
          <t>CI2523374344</t>
        </is>
      </c>
      <c r="C139" s="220" t="n">
        <v>188.1</v>
      </c>
      <c r="D139" s="220" t="n">
        <v>7</v>
      </c>
      <c r="E139" s="220" t="n">
        <v>146</v>
      </c>
      <c r="F139" s="220">
        <f>ROUND((D139-E139)/D139*C139,2)</f>
        <v/>
      </c>
      <c r="G139" s="220">
        <f>ROUND(C139*0.01,2)</f>
        <v/>
      </c>
      <c r="H139" s="220">
        <f>ROUND((D139-E139)/D139*G139,2)</f>
        <v/>
      </c>
    </row>
    <row r="140" ht="28" customHeight="1" s="132">
      <c r="A140" s="220" t="inlineStr">
        <is>
          <t>A129</t>
        </is>
      </c>
      <c r="B140" s="220" t="inlineStr">
        <is>
          <t>CI2523382553</t>
        </is>
      </c>
      <c r="C140" s="220" t="n">
        <v>229.87</v>
      </c>
      <c r="D140" s="220" t="n">
        <v>60</v>
      </c>
      <c r="E140" s="220" t="n">
        <v>145</v>
      </c>
      <c r="F140" s="220">
        <f>ROUND((D140-E140)/D140*C140,2)</f>
        <v/>
      </c>
      <c r="G140" s="220">
        <f>ROUND(C140*0.01,2)</f>
        <v/>
      </c>
      <c r="H140" s="220">
        <f>ROUND((D140-E140)/D140*G140,2)</f>
        <v/>
      </c>
    </row>
    <row r="141" ht="28" customHeight="1" s="132">
      <c r="A141" s="220" t="inlineStr">
        <is>
          <t>A130</t>
        </is>
      </c>
      <c r="B141" s="220" t="inlineStr">
        <is>
          <t>CI2523379360</t>
        </is>
      </c>
      <c r="C141" s="220" t="n">
        <v>2776.45</v>
      </c>
      <c r="D141" s="220" t="n">
        <v>32</v>
      </c>
      <c r="E141" s="220" t="n">
        <v>145</v>
      </c>
      <c r="F141" s="220">
        <f>ROUND((D141-E141)/D141*C141,2)</f>
        <v/>
      </c>
      <c r="G141" s="220">
        <f>ROUND(C141*0.01,2)</f>
        <v/>
      </c>
      <c r="H141" s="220">
        <f>ROUND((D141-E141)/D141*G141,2)</f>
        <v/>
      </c>
    </row>
    <row r="142" ht="28" customHeight="1" s="132">
      <c r="A142" s="220" t="inlineStr">
        <is>
          <t>A131</t>
        </is>
      </c>
      <c r="B142" s="220" t="inlineStr">
        <is>
          <t>CI2523381948</t>
        </is>
      </c>
      <c r="C142" s="220" t="n">
        <v>106.62</v>
      </c>
      <c r="D142" s="220" t="n">
        <v>30</v>
      </c>
      <c r="E142" s="220" t="n">
        <v>145</v>
      </c>
      <c r="F142" s="220">
        <f>ROUND((D142-E142)/D142*C142,2)</f>
        <v/>
      </c>
      <c r="G142" s="220">
        <f>ROUND(C142*0.01,2)</f>
        <v/>
      </c>
      <c r="H142" s="220">
        <f>ROUND((D142-E142)/D142*G142,2)</f>
        <v/>
      </c>
    </row>
    <row r="143" ht="28" customHeight="1" s="132">
      <c r="A143" s="220" t="inlineStr">
        <is>
          <t>A132</t>
        </is>
      </c>
      <c r="B143" s="220" t="inlineStr">
        <is>
          <t>CI2523403461</t>
        </is>
      </c>
      <c r="C143" s="220" t="n">
        <v>924.54</v>
      </c>
      <c r="D143" s="220" t="n">
        <v>62</v>
      </c>
      <c r="E143" s="220" t="n">
        <v>139</v>
      </c>
      <c r="F143" s="220">
        <f>ROUND((D143-E143)/D143*C143,2)</f>
        <v/>
      </c>
      <c r="G143" s="220">
        <f>ROUND(C143*0.01,2)</f>
        <v/>
      </c>
      <c r="H143" s="220">
        <f>ROUND((D143-E143)/D143*G143,2)</f>
        <v/>
      </c>
    </row>
    <row r="144" ht="28" customHeight="1" s="132">
      <c r="A144" s="220" t="inlineStr">
        <is>
          <t>A133</t>
        </is>
      </c>
      <c r="B144" s="220" t="inlineStr">
        <is>
          <t>CI2523407449</t>
        </is>
      </c>
      <c r="C144" s="220" t="n">
        <v>85.09</v>
      </c>
      <c r="D144" s="220" t="n">
        <v>30</v>
      </c>
      <c r="E144" s="220" t="n">
        <v>140</v>
      </c>
      <c r="F144" s="220">
        <f>ROUND((D144-E144)/D144*C144,2)</f>
        <v/>
      </c>
      <c r="G144" s="220">
        <f>ROUND(C144*0.01,2)</f>
        <v/>
      </c>
      <c r="H144" s="220">
        <f>ROUND((D144-E144)/D144*G144,2)</f>
        <v/>
      </c>
    </row>
    <row r="145" ht="28" customHeight="1" s="132">
      <c r="A145" s="220" t="inlineStr">
        <is>
          <t>A134</t>
        </is>
      </c>
      <c r="B145" s="220" t="inlineStr">
        <is>
          <t>CI2523414534</t>
        </is>
      </c>
      <c r="C145" s="220" t="n">
        <v>78.73</v>
      </c>
      <c r="D145" s="220" t="n">
        <v>30</v>
      </c>
      <c r="E145" s="220" t="n">
        <v>140</v>
      </c>
      <c r="F145" s="220">
        <f>ROUND((D145-E145)/D145*C145,2)</f>
        <v/>
      </c>
      <c r="G145" s="220">
        <f>ROUND(C145*0.01,2)</f>
        <v/>
      </c>
      <c r="H145" s="220">
        <f>ROUND((D145-E145)/D145*G145,2)</f>
        <v/>
      </c>
    </row>
    <row r="146" ht="28" customHeight="1" s="132">
      <c r="A146" s="220" t="inlineStr">
        <is>
          <t>A135</t>
        </is>
      </c>
      <c r="B146" s="220" t="inlineStr">
        <is>
          <t>CI2523409235</t>
        </is>
      </c>
      <c r="C146" s="220" t="n">
        <v>137.01</v>
      </c>
      <c r="D146" s="220" t="n">
        <v>30</v>
      </c>
      <c r="E146" s="220" t="n">
        <v>140</v>
      </c>
      <c r="F146" s="220">
        <f>ROUND((D146-E146)/D146*C146,2)</f>
        <v/>
      </c>
      <c r="G146" s="220">
        <f>ROUND(C146*0.01,2)</f>
        <v/>
      </c>
      <c r="H146" s="220">
        <f>ROUND((D146-E146)/D146*G146,2)</f>
        <v/>
      </c>
    </row>
    <row r="147" ht="28" customHeight="1" s="132">
      <c r="A147" s="220" t="inlineStr">
        <is>
          <t>A136</t>
        </is>
      </c>
      <c r="B147" s="220" t="inlineStr">
        <is>
          <t>CI2523423169</t>
        </is>
      </c>
      <c r="C147" s="220" t="n">
        <v>68.64</v>
      </c>
      <c r="D147" s="220" t="n">
        <v>30</v>
      </c>
      <c r="E147" s="220" t="n">
        <v>140</v>
      </c>
      <c r="F147" s="220">
        <f>ROUND((D147-E147)/D147*C147,2)</f>
        <v/>
      </c>
      <c r="G147" s="220">
        <f>ROUND(C147*0.01,2)</f>
        <v/>
      </c>
      <c r="H147" s="220">
        <f>ROUND((D147-E147)/D147*G147,2)</f>
        <v/>
      </c>
    </row>
    <row r="148" ht="28" customHeight="1" s="132">
      <c r="A148" s="220" t="inlineStr">
        <is>
          <t>A137</t>
        </is>
      </c>
      <c r="B148" s="220" t="inlineStr">
        <is>
          <t>CI2523446814</t>
        </is>
      </c>
      <c r="C148" s="220" t="n">
        <v>69.91</v>
      </c>
      <c r="D148" s="220" t="n">
        <v>30</v>
      </c>
      <c r="E148" s="220" t="n">
        <v>135</v>
      </c>
      <c r="F148" s="220">
        <f>ROUND((D148-E148)/D148*C148,2)</f>
        <v/>
      </c>
      <c r="G148" s="220">
        <f>ROUND(C148*0.01,2)</f>
        <v/>
      </c>
      <c r="H148" s="220">
        <f>ROUND((D148-E148)/D148*G148,2)</f>
        <v/>
      </c>
    </row>
    <row r="149" ht="28" customHeight="1" s="132">
      <c r="A149" s="220" t="inlineStr">
        <is>
          <t>A138</t>
        </is>
      </c>
      <c r="B149" s="220" t="inlineStr">
        <is>
          <t>CI2523454591</t>
        </is>
      </c>
      <c r="C149" s="220" t="n">
        <v>82.67</v>
      </c>
      <c r="D149" s="220" t="n">
        <v>30</v>
      </c>
      <c r="E149" s="220" t="n">
        <v>133</v>
      </c>
      <c r="F149" s="220">
        <f>ROUND((D149-E149)/D149*C149,2)</f>
        <v/>
      </c>
      <c r="G149" s="220">
        <f>ROUND(C149*0.01,2)</f>
        <v/>
      </c>
      <c r="H149" s="220">
        <f>ROUND((D149-E149)/D149*G149,2)</f>
        <v/>
      </c>
    </row>
    <row r="150" ht="28" customHeight="1" s="132">
      <c r="A150" s="220" t="inlineStr">
        <is>
          <t>A139</t>
        </is>
      </c>
      <c r="B150" s="220" t="inlineStr">
        <is>
          <t>CI2523450184</t>
        </is>
      </c>
      <c r="C150" s="220" t="n">
        <v>229.14</v>
      </c>
      <c r="D150" s="220" t="n">
        <v>60</v>
      </c>
      <c r="E150" s="220" t="n">
        <v>134</v>
      </c>
      <c r="F150" s="220">
        <f>ROUND((D150-E150)/D150*C150,2)</f>
        <v/>
      </c>
      <c r="G150" s="220">
        <f>ROUND(C150*0.01,2)</f>
        <v/>
      </c>
      <c r="H150" s="220">
        <f>ROUND((D150-E150)/D150*G150,2)</f>
        <v/>
      </c>
    </row>
    <row r="151" ht="28" customHeight="1" s="132">
      <c r="A151" s="220" t="inlineStr">
        <is>
          <t>A140</t>
        </is>
      </c>
      <c r="B151" s="220" t="inlineStr">
        <is>
          <t>CI2523449282</t>
        </is>
      </c>
      <c r="C151" s="220" t="n">
        <v>183.57</v>
      </c>
      <c r="D151" s="220" t="n">
        <v>60</v>
      </c>
      <c r="E151" s="220" t="n">
        <v>134</v>
      </c>
      <c r="F151" s="220">
        <f>ROUND((D151-E151)/D151*C151,2)</f>
        <v/>
      </c>
      <c r="G151" s="220">
        <f>ROUND(C151*0.01,2)</f>
        <v/>
      </c>
      <c r="H151" s="220">
        <f>ROUND((D151-E151)/D151*G151,2)</f>
        <v/>
      </c>
    </row>
    <row r="152" ht="28" customHeight="1" s="132">
      <c r="A152" s="220" t="inlineStr">
        <is>
          <t>A141</t>
        </is>
      </c>
      <c r="B152" s="220" t="inlineStr">
        <is>
          <t>CI2523453706</t>
        </is>
      </c>
      <c r="C152" s="220" t="n">
        <v>3561.76</v>
      </c>
      <c r="D152" s="220" t="n">
        <v>60</v>
      </c>
      <c r="E152" s="220" t="n">
        <v>133</v>
      </c>
      <c r="F152" s="220">
        <f>ROUND((D152-E152)/D152*C152,2)</f>
        <v/>
      </c>
      <c r="G152" s="220">
        <f>ROUND(C152*0.01,2)</f>
        <v/>
      </c>
      <c r="H152" s="220">
        <f>ROUND((D152-E152)/D152*G152,2)</f>
        <v/>
      </c>
    </row>
    <row r="153" ht="28" customHeight="1" s="132">
      <c r="A153" s="220" t="inlineStr">
        <is>
          <t>A142</t>
        </is>
      </c>
      <c r="B153" s="220" t="inlineStr">
        <is>
          <t>CI2523452102</t>
        </is>
      </c>
      <c r="C153" s="220" t="n">
        <v>177.88</v>
      </c>
      <c r="D153" s="220" t="n">
        <v>60</v>
      </c>
      <c r="E153" s="220" t="n">
        <v>134</v>
      </c>
      <c r="F153" s="220">
        <f>ROUND((D153-E153)/D153*C153,2)</f>
        <v/>
      </c>
      <c r="G153" s="220">
        <f>ROUND(C153*0.01,2)</f>
        <v/>
      </c>
      <c r="H153" s="220">
        <f>ROUND((D153-E153)/D153*G153,2)</f>
        <v/>
      </c>
    </row>
    <row r="154" ht="28" customHeight="1" s="132">
      <c r="A154" s="220" t="inlineStr">
        <is>
          <t>A143</t>
        </is>
      </c>
      <c r="B154" s="220" t="inlineStr">
        <is>
          <t>CI2523448524</t>
        </is>
      </c>
      <c r="C154" s="220" t="n">
        <v>183.57</v>
      </c>
      <c r="D154" s="220" t="n">
        <v>60</v>
      </c>
      <c r="E154" s="220" t="n">
        <v>134</v>
      </c>
      <c r="F154" s="220">
        <f>ROUND((D154-E154)/D154*C154,2)</f>
        <v/>
      </c>
      <c r="G154" s="220">
        <f>ROUND(C154*0.01,2)</f>
        <v/>
      </c>
      <c r="H154" s="220">
        <f>ROUND((D154-E154)/D154*G154,2)</f>
        <v/>
      </c>
    </row>
    <row r="155" ht="28" customHeight="1" s="132">
      <c r="A155" s="220" t="inlineStr">
        <is>
          <t>A144</t>
        </is>
      </c>
      <c r="B155" s="220" t="inlineStr">
        <is>
          <t>CI2523451923</t>
        </is>
      </c>
      <c r="C155" s="220" t="n">
        <v>183.57</v>
      </c>
      <c r="D155" s="220" t="n">
        <v>60</v>
      </c>
      <c r="E155" s="220" t="n">
        <v>134</v>
      </c>
      <c r="F155" s="220">
        <f>ROUND((D155-E155)/D155*C155,2)</f>
        <v/>
      </c>
      <c r="G155" s="220">
        <f>ROUND(C155*0.01,2)</f>
        <v/>
      </c>
      <c r="H155" s="220">
        <f>ROUND((D155-E155)/D155*G155,2)</f>
        <v/>
      </c>
    </row>
    <row r="156" ht="28" customHeight="1" s="132">
      <c r="A156" s="220" t="inlineStr">
        <is>
          <t>A145</t>
        </is>
      </c>
      <c r="B156" s="220" t="inlineStr">
        <is>
          <t>CI2523448306</t>
        </is>
      </c>
      <c r="C156" s="220" t="n">
        <v>183.57</v>
      </c>
      <c r="D156" s="220" t="n">
        <v>60</v>
      </c>
      <c r="E156" s="220" t="n">
        <v>134</v>
      </c>
      <c r="F156" s="220">
        <f>ROUND((D156-E156)/D156*C156,2)</f>
        <v/>
      </c>
      <c r="G156" s="220">
        <f>ROUND(C156*0.01,2)</f>
        <v/>
      </c>
      <c r="H156" s="220">
        <f>ROUND((D156-E156)/D156*G156,2)</f>
        <v/>
      </c>
    </row>
    <row r="157" ht="28" customHeight="1" s="132">
      <c r="A157" s="220" t="inlineStr">
        <is>
          <t>A146</t>
        </is>
      </c>
      <c r="B157" s="220" t="inlineStr">
        <is>
          <t>CI2523458600</t>
        </is>
      </c>
      <c r="C157" s="220" t="n">
        <v>1054.85</v>
      </c>
      <c r="D157" s="220" t="n">
        <v>77</v>
      </c>
      <c r="E157" s="220" t="n">
        <v>133</v>
      </c>
      <c r="F157" s="220">
        <f>ROUND((D157-E157)/D157*C157,2)</f>
        <v/>
      </c>
      <c r="G157" s="220">
        <f>ROUND(C157*0.01,2)</f>
        <v/>
      </c>
      <c r="H157" s="220">
        <f>ROUND((D157-E157)/D157*G157,2)</f>
        <v/>
      </c>
    </row>
    <row r="158" ht="28" customHeight="1" s="132">
      <c r="A158" s="220" t="inlineStr">
        <is>
          <t>A147</t>
        </is>
      </c>
      <c r="B158" s="220" t="inlineStr">
        <is>
          <t>CI2523458827</t>
        </is>
      </c>
      <c r="C158" s="220" t="n">
        <v>262.51</v>
      </c>
      <c r="D158" s="220" t="n">
        <v>8</v>
      </c>
      <c r="E158" s="220" t="n">
        <v>133</v>
      </c>
      <c r="F158" s="220">
        <f>ROUND((D158-E158)/D158*C158,2)</f>
        <v/>
      </c>
      <c r="G158" s="220">
        <f>ROUND(C158*0.01,2)</f>
        <v/>
      </c>
      <c r="H158" s="220">
        <f>ROUND((D158-E158)/D158*G158,2)</f>
        <v/>
      </c>
    </row>
    <row r="159" ht="28" customHeight="1" s="132">
      <c r="A159" s="220" t="inlineStr">
        <is>
          <t>A148</t>
        </is>
      </c>
      <c r="B159" s="220" t="inlineStr">
        <is>
          <t>CI2523465267</t>
        </is>
      </c>
      <c r="C159" s="220" t="n">
        <v>73.23999999999999</v>
      </c>
      <c r="D159" s="220" t="n">
        <v>30</v>
      </c>
      <c r="E159" s="220" t="n">
        <v>132</v>
      </c>
      <c r="F159" s="220">
        <f>ROUND((D159-E159)/D159*C159,2)</f>
        <v/>
      </c>
      <c r="G159" s="220">
        <f>ROUND(C159*0.01,2)</f>
        <v/>
      </c>
      <c r="H159" s="220">
        <f>ROUND((D159-E159)/D159*G159,2)</f>
        <v/>
      </c>
    </row>
    <row r="160" ht="28" customHeight="1" s="132">
      <c r="A160" s="220" t="inlineStr">
        <is>
          <t>A149</t>
        </is>
      </c>
      <c r="B160" s="220" t="inlineStr">
        <is>
          <t>CI2523466902</t>
        </is>
      </c>
      <c r="C160" s="220" t="n">
        <v>1450.53</v>
      </c>
      <c r="D160" s="220" t="n">
        <v>7</v>
      </c>
      <c r="E160" s="220" t="n">
        <v>132</v>
      </c>
      <c r="F160" s="220">
        <f>ROUND((D160-E160)/D160*C160,2)</f>
        <v/>
      </c>
      <c r="G160" s="220">
        <f>ROUND(C160*0.01,2)</f>
        <v/>
      </c>
      <c r="H160" s="220">
        <f>ROUND((D160-E160)/D160*G160,2)</f>
        <v/>
      </c>
    </row>
    <row r="161" ht="28" customHeight="1" s="132">
      <c r="A161" s="220" t="inlineStr">
        <is>
          <t>A150</t>
        </is>
      </c>
      <c r="B161" s="220" t="inlineStr">
        <is>
          <t>CI2523472694</t>
        </is>
      </c>
      <c r="C161" s="220" t="n">
        <v>4903.14</v>
      </c>
      <c r="D161" s="220" t="n">
        <v>92</v>
      </c>
      <c r="E161" s="220" t="n">
        <v>132</v>
      </c>
      <c r="F161" s="220">
        <f>ROUND((D161-E161)/D161*C161,2)</f>
        <v/>
      </c>
      <c r="G161" s="220">
        <f>ROUND(C161*0.01,2)</f>
        <v/>
      </c>
      <c r="H161" s="220">
        <f>ROUND((D161-E161)/D161*G161,2)</f>
        <v/>
      </c>
    </row>
    <row r="162" ht="28" customHeight="1" s="132">
      <c r="A162" s="220" t="inlineStr">
        <is>
          <t>A151</t>
        </is>
      </c>
      <c r="B162" s="220" t="inlineStr">
        <is>
          <t>CI2523485257</t>
        </is>
      </c>
      <c r="C162" s="220" t="n">
        <v>50.74</v>
      </c>
      <c r="D162" s="220" t="n">
        <v>30</v>
      </c>
      <c r="E162" s="220" t="n">
        <v>128</v>
      </c>
      <c r="F162" s="220">
        <f>ROUND((D162-E162)/D162*C162,2)</f>
        <v/>
      </c>
      <c r="G162" s="220">
        <f>ROUND(C162*0.01,2)</f>
        <v/>
      </c>
      <c r="H162" s="220">
        <f>ROUND((D162-E162)/D162*G162,2)</f>
        <v/>
      </c>
    </row>
    <row r="163" ht="28" customHeight="1" s="132">
      <c r="A163" s="220" t="inlineStr">
        <is>
          <t>A152</t>
        </is>
      </c>
      <c r="B163" s="220" t="inlineStr">
        <is>
          <t>CI2523489669</t>
        </is>
      </c>
      <c r="C163" s="220" t="n">
        <v>278.04</v>
      </c>
      <c r="D163" s="220" t="n">
        <v>30</v>
      </c>
      <c r="E163" s="220" t="n">
        <v>128</v>
      </c>
      <c r="F163" s="220">
        <f>ROUND((D163-E163)/D163*C163,2)</f>
        <v/>
      </c>
      <c r="G163" s="220">
        <f>ROUND(C163*0.01,2)</f>
        <v/>
      </c>
      <c r="H163" s="220">
        <f>ROUND((D163-E163)/D163*G163,2)</f>
        <v/>
      </c>
    </row>
    <row r="164" ht="28" customHeight="1" s="132">
      <c r="A164" s="220" t="inlineStr">
        <is>
          <t>A153</t>
        </is>
      </c>
      <c r="B164" s="220" t="inlineStr">
        <is>
          <t>CI2523490185</t>
        </is>
      </c>
      <c r="C164" s="220" t="n">
        <v>297.75</v>
      </c>
      <c r="D164" s="220" t="n">
        <v>30</v>
      </c>
      <c r="E164" s="220" t="n">
        <v>128</v>
      </c>
      <c r="F164" s="220">
        <f>ROUND((D164-E164)/D164*C164,2)</f>
        <v/>
      </c>
      <c r="G164" s="220">
        <f>ROUND(C164*0.01,2)</f>
        <v/>
      </c>
      <c r="H164" s="220">
        <f>ROUND((D164-E164)/D164*G164,2)</f>
        <v/>
      </c>
    </row>
    <row r="165" ht="28" customHeight="1" s="132">
      <c r="A165" s="220" t="inlineStr">
        <is>
          <t>A154</t>
        </is>
      </c>
      <c r="B165" s="220" t="inlineStr">
        <is>
          <t>CI2523489894</t>
        </is>
      </c>
      <c r="C165" s="220" t="n">
        <v>219.44</v>
      </c>
      <c r="D165" s="220" t="n">
        <v>30</v>
      </c>
      <c r="E165" s="220" t="n">
        <v>128</v>
      </c>
      <c r="F165" s="220">
        <f>ROUND((D165-E165)/D165*C165,2)</f>
        <v/>
      </c>
      <c r="G165" s="220">
        <f>ROUND(C165*0.01,2)</f>
        <v/>
      </c>
      <c r="H165" s="220">
        <f>ROUND((D165-E165)/D165*G165,2)</f>
        <v/>
      </c>
    </row>
    <row r="166" ht="28" customHeight="1" s="132">
      <c r="A166" s="220" t="inlineStr">
        <is>
          <t>A155</t>
        </is>
      </c>
      <c r="B166" s="220" t="inlineStr">
        <is>
          <t>CI2523490849</t>
        </is>
      </c>
      <c r="C166" s="220" t="n">
        <v>223.11</v>
      </c>
      <c r="D166" s="220" t="n">
        <v>30</v>
      </c>
      <c r="E166" s="220" t="n">
        <v>128</v>
      </c>
      <c r="F166" s="220">
        <f>ROUND((D166-E166)/D166*C166,2)</f>
        <v/>
      </c>
      <c r="G166" s="220">
        <f>ROUND(C166*0.01,2)</f>
        <v/>
      </c>
      <c r="H166" s="220">
        <f>ROUND((D166-E166)/D166*G166,2)</f>
        <v/>
      </c>
    </row>
    <row r="167" ht="28" customHeight="1" s="132">
      <c r="A167" s="220" t="inlineStr">
        <is>
          <t>A156</t>
        </is>
      </c>
      <c r="B167" s="220" t="inlineStr">
        <is>
          <t>CI2523499434</t>
        </is>
      </c>
      <c r="C167" s="220" t="n">
        <v>900.74</v>
      </c>
      <c r="D167" s="220" t="n">
        <v>30</v>
      </c>
      <c r="E167" s="220" t="n">
        <v>127</v>
      </c>
      <c r="F167" s="220">
        <f>ROUND((D167-E167)/D167*C167,2)</f>
        <v/>
      </c>
      <c r="G167" s="220">
        <f>ROUND(C167*0.01,2)</f>
        <v/>
      </c>
      <c r="H167" s="220">
        <f>ROUND((D167-E167)/D167*G167,2)</f>
        <v/>
      </c>
    </row>
    <row r="168" ht="28" customHeight="1" s="132">
      <c r="A168" s="220" t="inlineStr">
        <is>
          <t>A157</t>
        </is>
      </c>
      <c r="B168" s="220" t="inlineStr">
        <is>
          <t>CI2523511891</t>
        </is>
      </c>
      <c r="C168" s="220" t="n">
        <v>312.99</v>
      </c>
      <c r="D168" s="220" t="n">
        <v>21</v>
      </c>
      <c r="E168" s="220" t="n">
        <v>128</v>
      </c>
      <c r="F168" s="220">
        <f>ROUND((D168-E168)/D168*C168,2)</f>
        <v/>
      </c>
      <c r="G168" s="220">
        <f>ROUND(C168*0.01,2)</f>
        <v/>
      </c>
      <c r="H168" s="220">
        <f>ROUND((D168-E168)/D168*G168,2)</f>
        <v/>
      </c>
    </row>
    <row r="169" ht="28" customHeight="1" s="132">
      <c r="A169" s="220" t="inlineStr">
        <is>
          <t>A158</t>
        </is>
      </c>
      <c r="B169" s="220" t="inlineStr">
        <is>
          <t>CI2523515295</t>
        </is>
      </c>
      <c r="C169" s="220" t="n">
        <v>900.29</v>
      </c>
      <c r="D169" s="220" t="n">
        <v>90</v>
      </c>
      <c r="E169" s="220" t="n">
        <v>126</v>
      </c>
      <c r="F169" s="220">
        <f>ROUND((D169-E169)/D169*C169,2)</f>
        <v/>
      </c>
      <c r="G169" s="220">
        <f>ROUND(C169*0.01,2)</f>
        <v/>
      </c>
      <c r="H169" s="220">
        <f>ROUND((D169-E169)/D169*G169,2)</f>
        <v/>
      </c>
    </row>
    <row r="170" ht="28" customHeight="1" s="132">
      <c r="A170" s="220" t="inlineStr">
        <is>
          <t>A159</t>
        </is>
      </c>
      <c r="B170" s="220" t="inlineStr">
        <is>
          <t>CI2523514697</t>
        </is>
      </c>
      <c r="C170" s="220" t="n">
        <v>115</v>
      </c>
      <c r="D170" s="220" t="n">
        <v>30</v>
      </c>
      <c r="E170" s="220" t="n">
        <v>126</v>
      </c>
      <c r="F170" s="220">
        <f>ROUND((D170-E170)/D170*C170,2)</f>
        <v/>
      </c>
      <c r="G170" s="220">
        <f>ROUND(C170*0.01,2)</f>
        <v/>
      </c>
      <c r="H170" s="220">
        <f>ROUND((D170-E170)/D170*G170,2)</f>
        <v/>
      </c>
    </row>
    <row r="171" ht="28" customHeight="1" s="132">
      <c r="A171" s="220" t="inlineStr">
        <is>
          <t>A160</t>
        </is>
      </c>
      <c r="B171" s="220" t="inlineStr">
        <is>
          <t>CI2523533363</t>
        </is>
      </c>
      <c r="C171" s="220" t="n">
        <v>294.13</v>
      </c>
      <c r="D171" s="220" t="n">
        <v>5</v>
      </c>
      <c r="E171" s="220" t="n">
        <v>122</v>
      </c>
      <c r="F171" s="220">
        <f>ROUND((D171-E171)/D171*C171,2)</f>
        <v/>
      </c>
      <c r="G171" s="220">
        <f>ROUND(C171*0.01,2)</f>
        <v/>
      </c>
      <c r="H171" s="220">
        <f>ROUND((D171-E171)/D171*G171,2)</f>
        <v/>
      </c>
    </row>
    <row r="172" ht="28" customHeight="1" s="132">
      <c r="A172" s="220" t="inlineStr">
        <is>
          <t>A161</t>
        </is>
      </c>
      <c r="B172" s="220" t="inlineStr">
        <is>
          <t>CI2523536712</t>
        </is>
      </c>
      <c r="C172" s="220" t="n">
        <v>136.25</v>
      </c>
      <c r="D172" s="220" t="n">
        <v>7</v>
      </c>
      <c r="E172" s="220" t="n">
        <v>122</v>
      </c>
      <c r="F172" s="220">
        <f>ROUND((D172-E172)/D172*C172,2)</f>
        <v/>
      </c>
      <c r="G172" s="220">
        <f>ROUND(C172*0.01,2)</f>
        <v/>
      </c>
      <c r="H172" s="220">
        <f>ROUND((D172-E172)/D172*G172,2)</f>
        <v/>
      </c>
    </row>
    <row r="173" ht="28" customHeight="1" s="132">
      <c r="A173" s="220" t="inlineStr">
        <is>
          <t>A162</t>
        </is>
      </c>
      <c r="B173" s="220" t="inlineStr">
        <is>
          <t>CI2523547887</t>
        </is>
      </c>
      <c r="C173" s="220" t="n">
        <v>76.04000000000001</v>
      </c>
      <c r="D173" s="220" t="n">
        <v>7</v>
      </c>
      <c r="E173" s="220" t="n">
        <v>120</v>
      </c>
      <c r="F173" s="220">
        <f>ROUND((D173-E173)/D173*C173,2)</f>
        <v/>
      </c>
      <c r="G173" s="220">
        <f>ROUND(C173*0.01,2)</f>
        <v/>
      </c>
      <c r="H173" s="220">
        <f>ROUND((D173-E173)/D173*G173,2)</f>
        <v/>
      </c>
    </row>
    <row r="174" ht="28" customHeight="1" s="132">
      <c r="A174" s="220" t="inlineStr">
        <is>
          <t>A163</t>
        </is>
      </c>
      <c r="B174" s="220" t="inlineStr">
        <is>
          <t>CI2523553144</t>
        </is>
      </c>
      <c r="C174" s="220" t="n">
        <v>100.08</v>
      </c>
      <c r="D174" s="220" t="n">
        <v>8</v>
      </c>
      <c r="E174" s="220" t="n">
        <v>120</v>
      </c>
      <c r="F174" s="220">
        <f>ROUND((D174-E174)/D174*C174,2)</f>
        <v/>
      </c>
      <c r="G174" s="220">
        <f>ROUND(C174*0.01,2)</f>
        <v/>
      </c>
      <c r="H174" s="220">
        <f>ROUND((D174-E174)/D174*G174,2)</f>
        <v/>
      </c>
    </row>
    <row r="175" ht="28" customHeight="1" s="132">
      <c r="A175" s="220" t="inlineStr">
        <is>
          <t>A164</t>
        </is>
      </c>
      <c r="B175" s="220" t="inlineStr">
        <is>
          <t>CI2523571910</t>
        </is>
      </c>
      <c r="C175" s="220" t="n">
        <v>271.41</v>
      </c>
      <c r="D175" s="220" t="n">
        <v>30</v>
      </c>
      <c r="E175" s="220" t="n">
        <v>118</v>
      </c>
      <c r="F175" s="220">
        <f>ROUND((D175-E175)/D175*C175,2)</f>
        <v/>
      </c>
      <c r="G175" s="220">
        <f>ROUND(C175*0.01,2)</f>
        <v/>
      </c>
      <c r="H175" s="220">
        <f>ROUND((D175-E175)/D175*G175,2)</f>
        <v/>
      </c>
    </row>
    <row r="176" ht="28" customHeight="1" s="132">
      <c r="A176" s="220" t="inlineStr">
        <is>
          <t>A165</t>
        </is>
      </c>
      <c r="B176" s="220" t="inlineStr">
        <is>
          <t>CI2523598012</t>
        </is>
      </c>
      <c r="C176" s="220" t="n">
        <v>219.84</v>
      </c>
      <c r="D176" s="220" t="n">
        <v>16</v>
      </c>
      <c r="E176" s="220" t="n">
        <v>114</v>
      </c>
      <c r="F176" s="220">
        <f>ROUND((D176-E176)/D176*C176,2)</f>
        <v/>
      </c>
      <c r="G176" s="220">
        <f>ROUND(C176*0.01,2)</f>
        <v/>
      </c>
      <c r="H176" s="220">
        <f>ROUND((D176-E176)/D176*G176,2)</f>
        <v/>
      </c>
    </row>
    <row r="177" ht="28" customHeight="1" s="132">
      <c r="A177" s="220" t="inlineStr">
        <is>
          <t>A166</t>
        </is>
      </c>
      <c r="B177" s="220" t="inlineStr">
        <is>
          <t>CI2523601690</t>
        </is>
      </c>
      <c r="C177" s="220" t="n">
        <v>163.63</v>
      </c>
      <c r="D177" s="220" t="n">
        <v>60</v>
      </c>
      <c r="E177" s="220" t="n">
        <v>114</v>
      </c>
      <c r="F177" s="220">
        <f>ROUND((D177-E177)/D177*C177,2)</f>
        <v/>
      </c>
      <c r="G177" s="220">
        <f>ROUND(C177*0.01,2)</f>
        <v/>
      </c>
      <c r="H177" s="220">
        <f>ROUND((D177-E177)/D177*G177,2)</f>
        <v/>
      </c>
    </row>
    <row r="178" ht="28" customHeight="1" s="132">
      <c r="A178" s="220" t="inlineStr">
        <is>
          <t>A167</t>
        </is>
      </c>
      <c r="B178" s="220" t="inlineStr">
        <is>
          <t>CI2523601397</t>
        </is>
      </c>
      <c r="C178" s="220" t="n">
        <v>217.06</v>
      </c>
      <c r="D178" s="220" t="n">
        <v>60</v>
      </c>
      <c r="E178" s="220" t="n">
        <v>114</v>
      </c>
      <c r="F178" s="220">
        <f>ROUND((D178-E178)/D178*C178,2)</f>
        <v/>
      </c>
      <c r="G178" s="220">
        <f>ROUND(C178*0.01,2)</f>
        <v/>
      </c>
      <c r="H178" s="220">
        <f>ROUND((D178-E178)/D178*G178,2)</f>
        <v/>
      </c>
    </row>
    <row r="179" ht="28" customHeight="1" s="132">
      <c r="A179" s="220" t="inlineStr">
        <is>
          <t>A168</t>
        </is>
      </c>
      <c r="B179" s="220" t="inlineStr">
        <is>
          <t>CI2523602661</t>
        </is>
      </c>
      <c r="C179" s="220" t="n">
        <v>244.28</v>
      </c>
      <c r="D179" s="220" t="n">
        <v>60</v>
      </c>
      <c r="E179" s="220" t="n">
        <v>114</v>
      </c>
      <c r="F179" s="220">
        <f>ROUND((D179-E179)/D179*C179,2)</f>
        <v/>
      </c>
      <c r="G179" s="220">
        <f>ROUND(C179*0.01,2)</f>
        <v/>
      </c>
      <c r="H179" s="220">
        <f>ROUND((D179-E179)/D179*G179,2)</f>
        <v/>
      </c>
    </row>
    <row r="180" ht="28" customHeight="1" s="132">
      <c r="A180" s="220" t="inlineStr">
        <is>
          <t>A169</t>
        </is>
      </c>
      <c r="B180" s="220" t="inlineStr">
        <is>
          <t>CI2523533363</t>
        </is>
      </c>
      <c r="C180" s="220" t="n">
        <v>98.26000000000001</v>
      </c>
      <c r="D180" s="220" t="n">
        <v>5</v>
      </c>
      <c r="E180" s="220" t="n">
        <v>122</v>
      </c>
      <c r="F180" s="220">
        <f>ROUND((D180-E180)/D180*C180,2)</f>
        <v/>
      </c>
      <c r="G180" s="220">
        <f>ROUND(C180*0.01,2)</f>
        <v/>
      </c>
      <c r="H180" s="220">
        <f>ROUND((D180-E180)/D180*G180,2)</f>
        <v/>
      </c>
    </row>
    <row r="181" ht="28" customHeight="1" s="132">
      <c r="A181" s="220" t="inlineStr">
        <is>
          <t>A170</t>
        </is>
      </c>
      <c r="B181" s="220" t="inlineStr">
        <is>
          <t>CI2523602097</t>
        </is>
      </c>
      <c r="C181" s="220" t="n">
        <v>76.59</v>
      </c>
      <c r="D181" s="220" t="n">
        <v>60</v>
      </c>
      <c r="E181" s="220" t="n">
        <v>114</v>
      </c>
      <c r="F181" s="220">
        <f>ROUND((D181-E181)/D181*C181,2)</f>
        <v/>
      </c>
      <c r="G181" s="220">
        <f>ROUND(C181*0.01,2)</f>
        <v/>
      </c>
      <c r="H181" s="220">
        <f>ROUND((D181-E181)/D181*G181,2)</f>
        <v/>
      </c>
    </row>
    <row r="182" ht="28" customHeight="1" s="132">
      <c r="A182" s="220" t="inlineStr">
        <is>
          <t>A171</t>
        </is>
      </c>
      <c r="B182" s="220" t="inlineStr">
        <is>
          <t>CI2523603204</t>
        </is>
      </c>
      <c r="C182" s="220" t="n">
        <v>209.05</v>
      </c>
      <c r="D182" s="220" t="n">
        <v>60</v>
      </c>
      <c r="E182" s="220" t="n">
        <v>114</v>
      </c>
      <c r="F182" s="220">
        <f>ROUND((D182-E182)/D182*C182,2)</f>
        <v/>
      </c>
      <c r="G182" s="220">
        <f>ROUND(C182*0.01,2)</f>
        <v/>
      </c>
      <c r="H182" s="220">
        <f>ROUND((D182-E182)/D182*G182,2)</f>
        <v/>
      </c>
    </row>
    <row r="183" ht="28" customHeight="1" s="132">
      <c r="A183" s="220" t="inlineStr">
        <is>
          <t>A172</t>
        </is>
      </c>
      <c r="B183" s="220" t="inlineStr">
        <is>
          <t>CI2523601665</t>
        </is>
      </c>
      <c r="C183" s="220" t="n">
        <v>216.2</v>
      </c>
      <c r="D183" s="220" t="n">
        <v>60</v>
      </c>
      <c r="E183" s="220" t="n">
        <v>114</v>
      </c>
      <c r="F183" s="220">
        <f>ROUND((D183-E183)/D183*C183,2)</f>
        <v/>
      </c>
      <c r="G183" s="220">
        <f>ROUND(C183*0.01,2)</f>
        <v/>
      </c>
      <c r="H183" s="220">
        <f>ROUND((D183-E183)/D183*G183,2)</f>
        <v/>
      </c>
    </row>
    <row r="184" ht="28" customHeight="1" s="132">
      <c r="A184" s="220" t="inlineStr">
        <is>
          <t>A173</t>
        </is>
      </c>
      <c r="B184" s="220" t="inlineStr">
        <is>
          <t>CI2523602796</t>
        </is>
      </c>
      <c r="C184" s="220" t="n">
        <v>235.45</v>
      </c>
      <c r="D184" s="220" t="n">
        <v>60</v>
      </c>
      <c r="E184" s="220" t="n">
        <v>114</v>
      </c>
      <c r="F184" s="220">
        <f>ROUND((D184-E184)/D184*C184,2)</f>
        <v/>
      </c>
      <c r="G184" s="220">
        <f>ROUND(C184*0.01,2)</f>
        <v/>
      </c>
      <c r="H184" s="220">
        <f>ROUND((D184-E184)/D184*G184,2)</f>
        <v/>
      </c>
    </row>
    <row r="185" ht="28" customHeight="1" s="132">
      <c r="A185" s="220" t="inlineStr">
        <is>
          <t>A174</t>
        </is>
      </c>
      <c r="B185" s="220" t="inlineStr">
        <is>
          <t>CI2523616732</t>
        </is>
      </c>
      <c r="C185" s="220" t="n">
        <v>217.04</v>
      </c>
      <c r="D185" s="220" t="n">
        <v>60</v>
      </c>
      <c r="E185" s="220" t="n">
        <v>112</v>
      </c>
      <c r="F185" s="220">
        <f>ROUND((D185-E185)/D185*C185,2)</f>
        <v/>
      </c>
      <c r="G185" s="220">
        <f>ROUND(C185*0.01,2)</f>
        <v/>
      </c>
      <c r="H185" s="220">
        <f>ROUND((D185-E185)/D185*G185,2)</f>
        <v/>
      </c>
    </row>
    <row r="186" ht="28" customHeight="1" s="132">
      <c r="A186" s="220" t="inlineStr">
        <is>
          <t>A175</t>
        </is>
      </c>
      <c r="B186" s="220" t="inlineStr">
        <is>
          <t>CI2523624687</t>
        </is>
      </c>
      <c r="C186" s="220" t="n">
        <v>50.58</v>
      </c>
      <c r="D186" s="220" t="n">
        <v>75</v>
      </c>
      <c r="E186" s="220" t="n">
        <v>112</v>
      </c>
      <c r="F186" s="220">
        <f>ROUND((D186-E186)/D186*C186,2)</f>
        <v/>
      </c>
      <c r="G186" s="220">
        <f>ROUND(C186*0.01,2)</f>
        <v/>
      </c>
      <c r="H186" s="220">
        <f>ROUND((D186-E186)/D186*G186,2)</f>
        <v/>
      </c>
    </row>
    <row r="187" ht="28" customHeight="1" s="132">
      <c r="A187" s="220" t="inlineStr">
        <is>
          <t>A176</t>
        </is>
      </c>
      <c r="B187" s="220" t="inlineStr">
        <is>
          <t>CI2523628442</t>
        </is>
      </c>
      <c r="C187" s="220" t="n">
        <v>375.22</v>
      </c>
      <c r="D187" s="220" t="n">
        <v>7</v>
      </c>
      <c r="E187" s="220" t="n">
        <v>112</v>
      </c>
      <c r="F187" s="220">
        <f>ROUND((D187-E187)/D187*C187,2)</f>
        <v/>
      </c>
      <c r="G187" s="220">
        <f>ROUND(C187*0.01,2)</f>
        <v/>
      </c>
      <c r="H187" s="220">
        <f>ROUND((D187-E187)/D187*G187,2)</f>
        <v/>
      </c>
    </row>
    <row r="188" ht="28" customHeight="1" s="132">
      <c r="A188" s="220" t="inlineStr">
        <is>
          <t>A177</t>
        </is>
      </c>
      <c r="B188" s="220" t="inlineStr">
        <is>
          <t>CI2523627145</t>
        </is>
      </c>
      <c r="C188" s="220" t="n">
        <v>1275.54</v>
      </c>
      <c r="D188" s="220" t="n">
        <v>8</v>
      </c>
      <c r="E188" s="220" t="n">
        <v>112</v>
      </c>
      <c r="F188" s="220">
        <f>ROUND((D188-E188)/D188*C188,2)</f>
        <v/>
      </c>
      <c r="G188" s="220">
        <f>ROUND(C188*0.01,2)</f>
        <v/>
      </c>
      <c r="H188" s="220">
        <f>ROUND((D188-E188)/D188*G188,2)</f>
        <v/>
      </c>
    </row>
    <row r="189" ht="28" customHeight="1" s="132">
      <c r="A189" s="220" t="inlineStr">
        <is>
          <t>A178</t>
        </is>
      </c>
      <c r="B189" s="220" t="inlineStr">
        <is>
          <t>CI2523650438</t>
        </is>
      </c>
      <c r="C189" s="220" t="n">
        <v>229.75</v>
      </c>
      <c r="D189" s="220" t="n">
        <v>23</v>
      </c>
      <c r="E189" s="220" t="n">
        <v>107</v>
      </c>
      <c r="F189" s="220">
        <f>ROUND((D189-E189)/D189*C189,2)</f>
        <v/>
      </c>
      <c r="G189" s="220">
        <f>ROUND(C189*0.01,2)</f>
        <v/>
      </c>
      <c r="H189" s="220">
        <f>ROUND((D189-E189)/D189*G189,2)</f>
        <v/>
      </c>
    </row>
    <row r="190" ht="28" customHeight="1" s="132">
      <c r="A190" s="220" t="inlineStr">
        <is>
          <t>A179</t>
        </is>
      </c>
      <c r="B190" s="220" t="inlineStr">
        <is>
          <t>CI2523654500</t>
        </is>
      </c>
      <c r="C190" s="220" t="n">
        <v>297.5</v>
      </c>
      <c r="D190" s="220" t="n">
        <v>7</v>
      </c>
      <c r="E190" s="220" t="n">
        <v>107</v>
      </c>
      <c r="F190" s="220">
        <f>ROUND((D190-E190)/D190*C190,2)</f>
        <v/>
      </c>
      <c r="G190" s="220">
        <f>ROUND(C190*0.01,2)</f>
        <v/>
      </c>
      <c r="H190" s="220">
        <f>ROUND((D190-E190)/D190*G190,2)</f>
        <v/>
      </c>
    </row>
    <row r="191" ht="28" customHeight="1" s="132">
      <c r="A191" s="220" t="inlineStr">
        <is>
          <t>A180</t>
        </is>
      </c>
      <c r="B191" s="220" t="inlineStr">
        <is>
          <t>CI2523666277</t>
        </is>
      </c>
      <c r="C191" s="220" t="n">
        <v>563.47</v>
      </c>
      <c r="D191" s="220" t="n">
        <v>4</v>
      </c>
      <c r="E191" s="220" t="n">
        <v>99</v>
      </c>
      <c r="F191" s="220">
        <f>ROUND((D191-E191)/D191*C191,2)</f>
        <v/>
      </c>
      <c r="G191" s="220">
        <f>ROUND(C191*0.01,2)</f>
        <v/>
      </c>
      <c r="H191" s="220">
        <f>ROUND((D191-E191)/D191*G191,2)</f>
        <v/>
      </c>
    </row>
    <row r="192" ht="28" customHeight="1" s="132">
      <c r="A192" s="220" t="inlineStr">
        <is>
          <t>A181</t>
        </is>
      </c>
      <c r="B192" s="220" t="inlineStr">
        <is>
          <t>CI2523673860</t>
        </is>
      </c>
      <c r="C192" s="220" t="n">
        <v>632.37</v>
      </c>
      <c r="D192" s="220" t="n">
        <v>30</v>
      </c>
      <c r="E192" s="220" t="n">
        <v>105</v>
      </c>
      <c r="F192" s="220">
        <f>ROUND((D192-E192)/D192*C192,2)</f>
        <v/>
      </c>
      <c r="G192" s="220">
        <f>ROUND(C192*0.01,2)</f>
        <v/>
      </c>
      <c r="H192" s="220">
        <f>ROUND((D192-E192)/D192*G192,2)</f>
        <v/>
      </c>
    </row>
    <row r="193" ht="28" customHeight="1" s="132">
      <c r="A193" s="220" t="inlineStr">
        <is>
          <t>A182</t>
        </is>
      </c>
      <c r="B193" s="220" t="inlineStr">
        <is>
          <t>CI2523687411</t>
        </is>
      </c>
      <c r="C193" s="220" t="n">
        <v>485.4</v>
      </c>
      <c r="D193" s="220" t="n">
        <v>8</v>
      </c>
      <c r="E193" s="220" t="n">
        <v>103</v>
      </c>
      <c r="F193" s="220">
        <f>ROUND((D193-E193)/D193*C193,2)</f>
        <v/>
      </c>
      <c r="G193" s="220">
        <f>ROUND(C193*0.01,2)</f>
        <v/>
      </c>
      <c r="H193" s="220">
        <f>ROUND((D193-E193)/D193*G193,2)</f>
        <v/>
      </c>
    </row>
    <row r="194" ht="28" customHeight="1" s="132">
      <c r="A194" s="220" t="inlineStr">
        <is>
          <t>A183</t>
        </is>
      </c>
      <c r="B194" s="220" t="inlineStr">
        <is>
          <t>CI2523680273</t>
        </is>
      </c>
      <c r="C194" s="220" t="n">
        <v>103.56</v>
      </c>
      <c r="D194" s="220" t="n">
        <v>30</v>
      </c>
      <c r="E194" s="220" t="n">
        <v>104</v>
      </c>
      <c r="F194" s="220">
        <f>ROUND((D194-E194)/D194*C194,2)</f>
        <v/>
      </c>
      <c r="G194" s="220">
        <f>ROUND(C194*0.01,2)</f>
        <v/>
      </c>
      <c r="H194" s="220">
        <f>ROUND((D194-E194)/D194*G194,2)</f>
        <v/>
      </c>
    </row>
    <row r="195" ht="28" customHeight="1" s="132">
      <c r="A195" s="220" t="inlineStr">
        <is>
          <t>A184</t>
        </is>
      </c>
      <c r="B195" s="220" t="inlineStr">
        <is>
          <t>CI2523678380</t>
        </is>
      </c>
      <c r="C195" s="220" t="n">
        <v>74.98</v>
      </c>
      <c r="D195" s="220" t="n">
        <v>30</v>
      </c>
      <c r="E195" s="220" t="n">
        <v>104</v>
      </c>
      <c r="F195" s="220">
        <f>ROUND((D195-E195)/D195*C195,2)</f>
        <v/>
      </c>
      <c r="G195" s="220">
        <f>ROUND(C195*0.01,2)</f>
        <v/>
      </c>
      <c r="H195" s="220">
        <f>ROUND((D195-E195)/D195*G195,2)</f>
        <v/>
      </c>
    </row>
    <row r="196" ht="28" customHeight="1" s="132">
      <c r="A196" s="220" t="inlineStr">
        <is>
          <t>A185</t>
        </is>
      </c>
      <c r="B196" s="220" t="inlineStr">
        <is>
          <t>CI2523700785</t>
        </is>
      </c>
      <c r="C196" s="220" t="n">
        <v>219.84</v>
      </c>
      <c r="D196" s="220" t="n">
        <v>30</v>
      </c>
      <c r="E196" s="220" t="n">
        <v>100</v>
      </c>
      <c r="F196" s="220">
        <f>ROUND((D196-E196)/D196*C196,2)</f>
        <v/>
      </c>
      <c r="G196" s="220">
        <f>ROUND(C196*0.01,2)</f>
        <v/>
      </c>
      <c r="H196" s="220">
        <f>ROUND((D196-E196)/D196*G196,2)</f>
        <v/>
      </c>
    </row>
    <row r="197" ht="28" customHeight="1" s="132">
      <c r="A197" s="220" t="inlineStr">
        <is>
          <t>A186</t>
        </is>
      </c>
      <c r="B197" s="220" t="inlineStr">
        <is>
          <t>CI2523701780</t>
        </is>
      </c>
      <c r="C197" s="220" t="n">
        <v>124.52</v>
      </c>
      <c r="D197" s="220" t="n">
        <v>8</v>
      </c>
      <c r="E197" s="220" t="n">
        <v>103</v>
      </c>
      <c r="F197" s="220">
        <f>ROUND((D197-E197)/D197*C197,2)</f>
        <v/>
      </c>
      <c r="G197" s="220">
        <f>ROUND(C197*0.01,2)</f>
        <v/>
      </c>
      <c r="H197" s="220">
        <f>ROUND((D197-E197)/D197*G197,2)</f>
        <v/>
      </c>
    </row>
    <row r="198" ht="28" customHeight="1" s="132">
      <c r="A198" s="220" t="inlineStr">
        <is>
          <t>A187</t>
        </is>
      </c>
      <c r="B198" s="220" t="inlineStr">
        <is>
          <t>CI2523711722</t>
        </is>
      </c>
      <c r="C198" s="220" t="n">
        <v>200.61</v>
      </c>
      <c r="D198" s="220" t="n">
        <v>61</v>
      </c>
      <c r="E198" s="220" t="n">
        <v>99</v>
      </c>
      <c r="F198" s="220">
        <f>ROUND((D198-E198)/D198*C198,2)</f>
        <v/>
      </c>
      <c r="G198" s="220">
        <f>ROUND(C198*0.01,2)</f>
        <v/>
      </c>
      <c r="H198" s="220">
        <f>ROUND((D198-E198)/D198*G198,2)</f>
        <v/>
      </c>
    </row>
    <row r="199" ht="28" customHeight="1" s="132">
      <c r="A199" s="220" t="inlineStr">
        <is>
          <t>A188</t>
        </is>
      </c>
      <c r="B199" s="220" t="inlineStr">
        <is>
          <t>CI2523709977</t>
        </is>
      </c>
      <c r="C199" s="220" t="n">
        <v>155.27</v>
      </c>
      <c r="D199" s="220" t="n">
        <v>30</v>
      </c>
      <c r="E199" s="220" t="n">
        <v>100</v>
      </c>
      <c r="F199" s="220">
        <f>ROUND((D199-E199)/D199*C199,2)</f>
        <v/>
      </c>
      <c r="G199" s="220">
        <f>ROUND(C199*0.01,2)</f>
        <v/>
      </c>
      <c r="H199" s="220">
        <f>ROUND((D199-E199)/D199*G199,2)</f>
        <v/>
      </c>
    </row>
    <row r="200" ht="28" customHeight="1" s="132">
      <c r="A200" s="220" t="inlineStr">
        <is>
          <t>A189</t>
        </is>
      </c>
      <c r="B200" s="220" t="inlineStr">
        <is>
          <t>CI2523712450</t>
        </is>
      </c>
      <c r="C200" s="220" t="n">
        <v>94.5</v>
      </c>
      <c r="D200" s="220" t="n">
        <v>30</v>
      </c>
      <c r="E200" s="220" t="n">
        <v>99</v>
      </c>
      <c r="F200" s="220">
        <f>ROUND((D200-E200)/D200*C200,2)</f>
        <v/>
      </c>
      <c r="G200" s="220">
        <f>ROUND(C200*0.01,2)</f>
        <v/>
      </c>
      <c r="H200" s="220">
        <f>ROUND((D200-E200)/D200*G200,2)</f>
        <v/>
      </c>
    </row>
    <row r="201" ht="28" customHeight="1" s="132">
      <c r="A201" s="220" t="inlineStr">
        <is>
          <t>A190</t>
        </is>
      </c>
      <c r="B201" s="220" t="inlineStr">
        <is>
          <t>CI2523705925</t>
        </is>
      </c>
      <c r="C201" s="220" t="n">
        <v>868.39</v>
      </c>
      <c r="D201" s="220" t="n">
        <v>22</v>
      </c>
      <c r="E201" s="220" t="n">
        <v>100</v>
      </c>
      <c r="F201" s="220">
        <f>ROUND((D201-E201)/D201*C201,2)</f>
        <v/>
      </c>
      <c r="G201" s="220">
        <f>ROUND(C201*0.01,2)</f>
        <v/>
      </c>
      <c r="H201" s="220">
        <f>ROUND((D201-E201)/D201*G201,2)</f>
        <v/>
      </c>
    </row>
    <row r="202" ht="28" customHeight="1" s="132">
      <c r="A202" s="220" t="inlineStr">
        <is>
          <t>A191</t>
        </is>
      </c>
      <c r="B202" s="220" t="inlineStr">
        <is>
          <t>CI2523709715</t>
        </is>
      </c>
      <c r="C202" s="220" t="n">
        <v>68.16</v>
      </c>
      <c r="D202" s="220" t="n">
        <v>30</v>
      </c>
      <c r="E202" s="220" t="n">
        <v>100</v>
      </c>
      <c r="F202" s="220">
        <f>ROUND((D202-E202)/D202*C202,2)</f>
        <v/>
      </c>
      <c r="G202" s="220">
        <f>ROUND(C202*0.01,2)</f>
        <v/>
      </c>
      <c r="H202" s="220">
        <f>ROUND((D202-E202)/D202*G202,2)</f>
        <v/>
      </c>
    </row>
    <row r="203" ht="28" customHeight="1" s="132">
      <c r="A203" s="220" t="inlineStr">
        <is>
          <t>A192</t>
        </is>
      </c>
      <c r="B203" s="220" t="inlineStr">
        <is>
          <t>CI2523705650</t>
        </is>
      </c>
      <c r="C203" s="220" t="n">
        <v>568.4400000000001</v>
      </c>
      <c r="D203" s="220" t="n">
        <v>7</v>
      </c>
      <c r="E203" s="220" t="n">
        <v>100</v>
      </c>
      <c r="F203" s="220">
        <f>ROUND((D203-E203)/D203*C203,2)</f>
        <v/>
      </c>
      <c r="G203" s="220">
        <f>ROUND(C203*0.01,2)</f>
        <v/>
      </c>
      <c r="H203" s="220">
        <f>ROUND((D203-E203)/D203*G203,2)</f>
        <v/>
      </c>
    </row>
    <row r="204" ht="28" customHeight="1" s="132">
      <c r="A204" s="220" t="inlineStr">
        <is>
          <t>A193</t>
        </is>
      </c>
      <c r="B204" s="220" t="inlineStr">
        <is>
          <t>CI2523714589</t>
        </is>
      </c>
      <c r="C204" s="220" t="n">
        <v>317.32</v>
      </c>
      <c r="D204" s="220" t="n">
        <v>5</v>
      </c>
      <c r="E204" s="220" t="n">
        <v>99</v>
      </c>
      <c r="F204" s="220">
        <f>ROUND((D204-E204)/D204*C204,2)</f>
        <v/>
      </c>
      <c r="G204" s="220">
        <f>ROUND(C204*0.01,2)</f>
        <v/>
      </c>
      <c r="H204" s="220">
        <f>ROUND((D204-E204)/D204*G204,2)</f>
        <v/>
      </c>
    </row>
    <row r="205" ht="28" customHeight="1" s="132">
      <c r="A205" s="220" t="inlineStr">
        <is>
          <t>A194</t>
        </is>
      </c>
      <c r="B205" s="220" t="inlineStr">
        <is>
          <t>CI2523733529</t>
        </is>
      </c>
      <c r="C205" s="220" t="n">
        <v>763.66</v>
      </c>
      <c r="D205" s="220" t="n">
        <v>62</v>
      </c>
      <c r="E205" s="220" t="n">
        <v>97</v>
      </c>
      <c r="F205" s="220">
        <f>ROUND((D205-E205)/D205*C205,2)</f>
        <v/>
      </c>
      <c r="G205" s="220">
        <f>ROUND(C205*0.01,2)</f>
        <v/>
      </c>
      <c r="H205" s="220">
        <f>ROUND((D205-E205)/D205*G205,2)</f>
        <v/>
      </c>
    </row>
    <row r="206" ht="28" customHeight="1" s="132">
      <c r="A206" s="220" t="inlineStr">
        <is>
          <t>A195</t>
        </is>
      </c>
      <c r="B206" s="220" t="inlineStr">
        <is>
          <t>CI2523734998</t>
        </is>
      </c>
      <c r="C206" s="220" t="n">
        <v>206.84</v>
      </c>
      <c r="D206" s="220" t="n">
        <v>21</v>
      </c>
      <c r="E206" s="220" t="n">
        <v>98</v>
      </c>
      <c r="F206" s="220">
        <f>ROUND((D206-E206)/D206*C206,2)</f>
        <v/>
      </c>
      <c r="G206" s="220">
        <f>ROUND(C206*0.01,2)</f>
        <v/>
      </c>
      <c r="H206" s="220">
        <f>ROUND((D206-E206)/D206*G206,2)</f>
        <v/>
      </c>
    </row>
    <row r="207" ht="28" customHeight="1" s="132">
      <c r="A207" s="220" t="inlineStr">
        <is>
          <t>A196</t>
        </is>
      </c>
      <c r="B207" s="220" t="inlineStr">
        <is>
          <t>CI2523735722</t>
        </is>
      </c>
      <c r="C207" s="220" t="n">
        <v>2493.9</v>
      </c>
      <c r="D207" s="220" t="n">
        <v>365</v>
      </c>
      <c r="E207" s="220" t="n">
        <v>92</v>
      </c>
      <c r="F207" s="220">
        <f>ROUND((D207-E207)/D207*C207,2)</f>
        <v/>
      </c>
      <c r="G207" s="220">
        <f>ROUND(C207*0.01,2)</f>
        <v/>
      </c>
      <c r="H207" s="220">
        <f>ROUND((D207-E207)/D207*G207,2)</f>
        <v/>
      </c>
    </row>
    <row r="208" ht="28" customHeight="1" s="132">
      <c r="A208" s="220" t="inlineStr">
        <is>
          <t>A197</t>
        </is>
      </c>
      <c r="B208" s="220" t="inlineStr">
        <is>
          <t>CI2523744118</t>
        </is>
      </c>
      <c r="C208" s="220" t="n">
        <v>75.95</v>
      </c>
      <c r="D208" s="220" t="n">
        <v>8</v>
      </c>
      <c r="E208" s="220" t="n">
        <v>96</v>
      </c>
      <c r="F208" s="220">
        <f>ROUND((D208-E208)/D208*C208,2)</f>
        <v/>
      </c>
      <c r="G208" s="220">
        <f>ROUND(C208*0.01,2)</f>
        <v/>
      </c>
      <c r="H208" s="220">
        <f>ROUND((D208-E208)/D208*G208,2)</f>
        <v/>
      </c>
    </row>
    <row r="209" ht="28" customHeight="1" s="132">
      <c r="A209" s="220" t="inlineStr">
        <is>
          <t>A198</t>
        </is>
      </c>
      <c r="B209" s="220" t="inlineStr">
        <is>
          <t>CI2523742069</t>
        </is>
      </c>
      <c r="C209" s="220" t="n">
        <v>147.52</v>
      </c>
      <c r="D209" s="220" t="n">
        <v>30</v>
      </c>
      <c r="E209" s="220" t="n">
        <v>96</v>
      </c>
      <c r="F209" s="220">
        <f>ROUND((D209-E209)/D209*C209,2)</f>
        <v/>
      </c>
      <c r="G209" s="220">
        <f>ROUND(C209*0.01,2)</f>
        <v/>
      </c>
      <c r="H209" s="220">
        <f>ROUND((D209-E209)/D209*G209,2)</f>
        <v/>
      </c>
    </row>
    <row r="210" ht="28" customHeight="1" s="132">
      <c r="A210" s="220" t="inlineStr">
        <is>
          <t>A199</t>
        </is>
      </c>
      <c r="B210" s="220" t="inlineStr">
        <is>
          <t>CI2523740724</t>
        </is>
      </c>
      <c r="C210" s="220" t="n">
        <v>157.01</v>
      </c>
      <c r="D210" s="220" t="n">
        <v>60</v>
      </c>
      <c r="E210" s="220" t="n">
        <v>97</v>
      </c>
      <c r="F210" s="220">
        <f>ROUND((D210-E210)/D210*C210,2)</f>
        <v/>
      </c>
      <c r="G210" s="220">
        <f>ROUND(C210*0.01,2)</f>
        <v/>
      </c>
      <c r="H210" s="220">
        <f>ROUND((D210-E210)/D210*G210,2)</f>
        <v/>
      </c>
    </row>
    <row r="211" ht="28" customHeight="1" s="132">
      <c r="A211" s="220" t="inlineStr">
        <is>
          <t>A200</t>
        </is>
      </c>
      <c r="B211" s="220" t="inlineStr">
        <is>
          <t>CI2523737214</t>
        </is>
      </c>
      <c r="C211" s="220" t="n">
        <v>109.03</v>
      </c>
      <c r="D211" s="220" t="n">
        <v>61</v>
      </c>
      <c r="E211" s="220" t="n">
        <v>97</v>
      </c>
      <c r="F211" s="220">
        <f>ROUND((D211-E211)/D211*C211,2)</f>
        <v/>
      </c>
      <c r="G211" s="220">
        <f>ROUND(C211*0.01,2)</f>
        <v/>
      </c>
      <c r="H211" s="220">
        <f>ROUND((D211-E211)/D211*G211,2)</f>
        <v/>
      </c>
    </row>
    <row r="212" ht="28" customHeight="1" s="132">
      <c r="A212" s="220" t="inlineStr">
        <is>
          <t>A201</t>
        </is>
      </c>
      <c r="B212" s="220" t="inlineStr">
        <is>
          <t>CI2523751536</t>
        </is>
      </c>
      <c r="C212" s="220" t="n">
        <v>393.63</v>
      </c>
      <c r="D212" s="220" t="n">
        <v>8</v>
      </c>
      <c r="E212" s="220" t="n">
        <v>96</v>
      </c>
      <c r="F212" s="220">
        <f>ROUND((D212-E212)/D212*C212,2)</f>
        <v/>
      </c>
      <c r="G212" s="220">
        <f>ROUND(C212*0.01,2)</f>
        <v/>
      </c>
      <c r="H212" s="220">
        <f>ROUND((D212-E212)/D212*G212,2)</f>
        <v/>
      </c>
    </row>
    <row r="213" ht="28" customHeight="1" s="132">
      <c r="A213" s="220" t="inlineStr">
        <is>
          <t>A202</t>
        </is>
      </c>
      <c r="B213" s="220" t="inlineStr">
        <is>
          <t>CI2523758337</t>
        </is>
      </c>
      <c r="C213" s="220" t="n">
        <v>76.26000000000001</v>
      </c>
      <c r="D213" s="220" t="n">
        <v>7</v>
      </c>
      <c r="E213" s="220" t="n">
        <v>94</v>
      </c>
      <c r="F213" s="220">
        <f>ROUND((D213-E213)/D213*C213,2)</f>
        <v/>
      </c>
      <c r="G213" s="220">
        <f>ROUND(C213*0.01,2)</f>
        <v/>
      </c>
      <c r="H213" s="220">
        <f>ROUND((D213-E213)/D213*G213,2)</f>
        <v/>
      </c>
    </row>
    <row r="214">
      <c r="A214" s="222" t="inlineStr">
        <is>
          <t>AA1</t>
        </is>
      </c>
      <c r="B214" s="222" t="inlineStr">
        <is>
          <t>Yekun BSH</t>
        </is>
      </c>
      <c r="C214" s="222">
        <f>ROUND(SUM(C12:C213),2)</f>
        <v/>
      </c>
      <c r="D214" s="29" t="n"/>
      <c r="E214" s="29" t="n"/>
      <c r="F214" s="222">
        <f>ROUND(SUM(F12:F213),2)</f>
        <v/>
      </c>
      <c r="G214" s="222">
        <f>ROUND(SUM(G12:G213),2)</f>
        <v/>
      </c>
      <c r="H214" s="222">
        <f>ROUND(SUM(H12:H213),2)</f>
        <v/>
      </c>
    </row>
    <row r="215">
      <c r="B215" s="18" t="inlineStr">
        <is>
          <t>Təkrarsığorta müqavilələri (təkrarsığortaya qəbul edilmiş risklər üzrə)</t>
        </is>
      </c>
      <c r="C215" s="18" t="inlineStr">
        <is>
          <t>Baza təkrarsığorta haqqı</t>
        </is>
      </c>
      <c r="D215" s="18" t="inlineStr">
        <is>
          <t xml:space="preserve"> Təkrarsığorta təminatının müddəti (günlərlə) </t>
        </is>
      </c>
      <c r="E215" s="18" t="inlineStr">
        <is>
          <t xml:space="preserve">Təkrarsığorta təminatının başlandığı andan hesabat tarixinə qədər günlərin sayı </t>
        </is>
      </c>
      <c r="F215" s="18" t="inlineStr">
        <is>
          <t>Qazanılmamış təkrarsığorta haqqı (süt.2x(süt.3-süt.4)/süt.3)</t>
        </is>
      </c>
      <c r="G215" s="18" t="inlineStr">
        <is>
          <t>Baza təkrarsığorta haqqının katastrofik risk təminatına düşən hissəsi</t>
        </is>
      </c>
      <c r="H215" s="18" t="inlineStr">
        <is>
          <t>Qazanılmamış təkrarsığorta haqının katastrofik risk təminatına düşən hissəsi
(VIx(III-IV)/III)</t>
        </is>
      </c>
    </row>
    <row r="216">
      <c r="A216" t="inlineStr">
        <is>
          <t>B</t>
        </is>
      </c>
      <c r="B216" s="30" t="inlineStr">
        <is>
          <t>I</t>
        </is>
      </c>
      <c r="C216" s="30" t="inlineStr">
        <is>
          <t>II</t>
        </is>
      </c>
      <c r="D216" s="30" t="inlineStr">
        <is>
          <t>III</t>
        </is>
      </c>
      <c r="E216" s="30" t="inlineStr">
        <is>
          <t>IV</t>
        </is>
      </c>
      <c r="F216" s="30" t="inlineStr">
        <is>
          <t>V</t>
        </is>
      </c>
      <c r="G216" s="30" t="inlineStr">
        <is>
          <t>VI</t>
        </is>
      </c>
      <c r="H216" s="30" t="inlineStr">
        <is>
          <t>VII</t>
        </is>
      </c>
    </row>
    <row r="217">
      <c r="A217" t="inlineStr">
        <is>
          <t>BB1</t>
        </is>
      </c>
      <c r="B217" s="141" t="inlineStr">
        <is>
          <t xml:space="preserve">Aralıq yekun </t>
        </is>
      </c>
      <c r="C217" s="19" t="n">
        <v>0</v>
      </c>
      <c r="D217" s="141" t="inlineStr">
        <is>
          <t>X</t>
        </is>
      </c>
      <c r="E217" s="141" t="inlineStr">
        <is>
          <t>X</t>
        </is>
      </c>
      <c r="F217" s="19" t="n">
        <v>0</v>
      </c>
      <c r="G217" s="141" t="inlineStr">
        <is>
          <t>X</t>
        </is>
      </c>
      <c r="H217" s="19" t="n">
        <v>0</v>
      </c>
    </row>
    <row r="218">
      <c r="A218" t="inlineStr">
        <is>
          <t>ZZ1</t>
        </is>
      </c>
      <c r="B218" s="141" t="inlineStr">
        <is>
          <t>YEKUN QSHEB</t>
        </is>
      </c>
      <c r="C218" s="141" t="inlineStr">
        <is>
          <t>X</t>
        </is>
      </c>
      <c r="D218" s="141" t="inlineStr">
        <is>
          <t>X</t>
        </is>
      </c>
      <c r="E218" s="141" t="inlineStr">
        <is>
          <t>X</t>
        </is>
      </c>
      <c r="F218" s="222">
        <f>F214</f>
        <v/>
      </c>
      <c r="G218" s="141" t="inlineStr">
        <is>
          <t>X</t>
        </is>
      </c>
      <c r="H218" s="222">
        <f>H214</f>
        <v/>
      </c>
    </row>
    <row r="219">
      <c r="B219" s="180" t="inlineStr">
        <is>
          <t>QEYD: II sütunda «Sığorta ehtiyatlarının formalaşdırılması Qaydaları»na 3 saylı Əlavədəki Forma № 8-1-in IV sütunu üzrə alınan məbləğlər göstərilir. 2. "Yekun" sətiri üzrə V sütunda həmin sütun üzrə əvvəlki sətirlərdəki "Aralıq yekun"ların cəmi göstərilir.</t>
        </is>
      </c>
    </row>
    <row r="220">
      <c r="B220" s="178" t="n"/>
      <c r="F220" s="27" t="n"/>
    </row>
    <row r="221">
      <c r="B221" s="173" t="n"/>
      <c r="F221" s="27" t="n"/>
    </row>
    <row r="222">
      <c r="B222" s="172" t="inlineStr">
        <is>
          <t>İdarə heyətinin sədri ____________________________       _____________</t>
        </is>
      </c>
      <c r="F222" s="27" t="n"/>
    </row>
    <row r="223">
      <c r="B223" s="173" t="inlineStr">
        <is>
          <t xml:space="preserve">                                     (s.a.a)                                     (imza)</t>
        </is>
      </c>
      <c r="F223" s="27" t="n"/>
    </row>
    <row r="224">
      <c r="B224" s="172" t="inlineStr">
        <is>
          <t>Baş mühasib _______________________       _____________</t>
        </is>
      </c>
      <c r="F224" s="27" t="n"/>
    </row>
    <row r="225">
      <c r="B225" s="173" t="inlineStr">
        <is>
          <t xml:space="preserve">                                    (s.a.a)                                      (imza)</t>
        </is>
      </c>
      <c r="F225" s="27" t="n"/>
    </row>
    <row r="226">
      <c r="B226" s="27" t="n"/>
      <c r="C226" s="27" t="n"/>
      <c r="D226" s="27" t="n"/>
      <c r="E226" s="26" t="inlineStr">
        <is>
          <t>M.Y.</t>
        </is>
      </c>
      <c r="F226" s="27" t="n"/>
    </row>
    <row r="227">
      <c r="B227" s="130" t="n"/>
      <c r="C227" s="130" t="n"/>
      <c r="D227" s="130" t="n"/>
      <c r="E227" s="130" t="n"/>
      <c r="F227" s="130"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34"/>
  <sheetViews>
    <sheetView zoomScale="72" workbookViewId="0">
      <selection activeCell="A6" sqref="A6:XFD6"/>
    </sheetView>
  </sheetViews>
  <sheetFormatPr baseColWidth="8" defaultRowHeight="14.4"/>
  <cols>
    <col width="8.88671875" customWidth="1" style="132" min="1" max="1"/>
    <col width="34.21875" customWidth="1" style="132" min="2" max="3"/>
    <col width="25.5546875" customWidth="1" style="132" min="4" max="4"/>
    <col width="24.5546875" customWidth="1" style="132" min="5" max="5"/>
    <col width="21.6640625" customWidth="1" style="132" min="6" max="6"/>
    <col width="21.6640625" customWidth="1" style="132" min="7" max="10"/>
    <col width="8.88671875" customWidth="1" style="132" min="11" max="16384"/>
  </cols>
  <sheetData>
    <row r="1" ht="41.4" customHeight="1" s="132">
      <c r="B1" s="175" t="n"/>
      <c r="C1" s="175" t="n"/>
      <c r="D1" s="32" t="n"/>
      <c r="E1" s="174" t="inlineStr">
        <is>
          <t>«Həyat sığortası və qeyri-həyat sığortası
üzrə sığorta ehtiyatlarının formalaşdırılması
Qaydaları»na Əlavə № 3</t>
        </is>
      </c>
    </row>
    <row r="2" ht="18" customHeight="1" s="132">
      <c r="B2" s="189" t="inlineStr">
        <is>
          <t>Forma № 8-4</t>
        </is>
      </c>
      <c r="C2" s="189" t="n"/>
      <c r="D2" s="32" t="n"/>
      <c r="E2" s="200" t="n"/>
      <c r="F2" s="130" t="n"/>
    </row>
    <row r="3" ht="17.4" customHeight="1" s="132">
      <c r="B3" s="175" t="inlineStr">
        <is>
          <t>Baza təkrarsığorta haqqı</t>
        </is>
      </c>
    </row>
    <row r="4" ht="17.4" customHeight="1" s="132">
      <c r="B4" s="176" t="inlineStr">
        <is>
          <t>Ateshgah</t>
        </is>
      </c>
    </row>
    <row r="5" ht="15.6" customHeight="1" s="132">
      <c r="B5" s="177" t="inlineStr">
        <is>
          <t xml:space="preserve">    (sığortaçının (təkrarsığortaçının)  adı)</t>
        </is>
      </c>
    </row>
    <row r="6" ht="17.4" customHeight="1" s="132">
      <c r="B6" s="11" t="n"/>
      <c r="D6" s="12" t="inlineStr">
        <is>
          <t>01.01.2026</t>
        </is>
      </c>
      <c r="E6" s="11" t="inlineStr">
        <is>
          <t xml:space="preserve"> -cı il  tarixə</t>
        </is>
      </c>
      <c r="F6" s="11" t="n"/>
    </row>
    <row r="7" ht="17.4" customHeight="1" s="132">
      <c r="B7" s="13" t="n"/>
      <c r="C7" s="13" t="n"/>
      <c r="D7" s="13" t="n"/>
      <c r="E7" s="13" t="n"/>
      <c r="F7" s="13" t="n"/>
    </row>
    <row r="8" ht="18" customHeight="1" s="132">
      <c r="B8" s="14" t="inlineStr">
        <is>
          <t>Sığortanın sinifi ____________________________</t>
        </is>
      </c>
      <c r="C8" s="219" t="inlineStr">
        <is>
          <t>(08)Yuk</t>
        </is>
      </c>
      <c r="E8" s="13" t="n"/>
      <c r="F8" s="13" t="n"/>
    </row>
    <row r="9" ht="138.6" customHeight="1" s="132">
      <c r="B9" s="18" t="inlineStr">
        <is>
          <t>Təkrarsığorta müqavilələri (təkrarsığortaya verilmiş risklər üzrə)</t>
        </is>
      </c>
      <c r="C9" s="18" t="inlineStr">
        <is>
          <t>Təkrarsığorta müqaviləsinin bağlandığı tarix</t>
        </is>
      </c>
      <c r="D9" s="18" t="inlineStr">
        <is>
          <t>Hesablanmış təkrarsığorta haqqı</t>
        </is>
      </c>
      <c r="E9" s="18" t="inlineStr">
        <is>
          <t>Komisyon muzdu</t>
        </is>
      </c>
      <c r="F9" s="18" t="inlineStr">
        <is>
          <t>Baza təkrarsığorta haqqı (süt.2-süt.3)</t>
        </is>
      </c>
      <c r="G9" s="18" t="inlineStr">
        <is>
          <t>Hesablanmış təkrarsığorta haqqının katastrofik risk təminatına düşən hissəsi</t>
        </is>
      </c>
      <c r="H9" s="18" t="inlineStr">
        <is>
          <t>Katastrofik risk təminatı üzrə komisyon muzd</t>
        </is>
      </c>
      <c r="I9" s="18" t="inlineStr">
        <is>
          <t>Baza təkrarsığorta haqqının katastrofik risk təminatına düşən hissəsi
(VI-VII)</t>
        </is>
      </c>
    </row>
    <row r="10" ht="17.4" customHeight="1" s="132">
      <c r="B10" s="33" t="inlineStr">
        <is>
          <t>I</t>
        </is>
      </c>
      <c r="C10" s="33" t="inlineStr">
        <is>
          <t>II</t>
        </is>
      </c>
      <c r="D10" s="33" t="inlineStr">
        <is>
          <t>III</t>
        </is>
      </c>
      <c r="E10" s="33" t="inlineStr">
        <is>
          <t>IV</t>
        </is>
      </c>
      <c r="F10" s="33" t="inlineStr">
        <is>
          <t>V</t>
        </is>
      </c>
      <c r="G10" s="33" t="inlineStr">
        <is>
          <t>VI</t>
        </is>
      </c>
      <c r="H10" s="33" t="inlineStr">
        <is>
          <t>VII</t>
        </is>
      </c>
      <c r="I10" s="33" t="inlineStr">
        <is>
          <t>VII</t>
        </is>
      </c>
    </row>
    <row r="11" ht="17.4" customHeight="1" s="132">
      <c r="A11" t="inlineStr">
        <is>
          <t>A</t>
        </is>
      </c>
      <c r="B11" s="183" t="inlineStr">
        <is>
          <t>I qrup təkrarsığortaçılar</t>
        </is>
      </c>
    </row>
    <row r="12" ht="28" customHeight="1" s="132">
      <c r="A12" s="220" t="inlineStr">
        <is>
          <t>A1</t>
        </is>
      </c>
      <c r="B12" s="220" t="inlineStr">
        <is>
          <t>CI2522715202/RI041</t>
        </is>
      </c>
      <c r="C12" s="237" t="n">
        <v>45785</v>
      </c>
      <c r="D12" s="220" t="n">
        <v>2658.75</v>
      </c>
      <c r="E12" s="220" t="n">
        <v>0</v>
      </c>
      <c r="F12" s="220" t="n">
        <v>2658.75</v>
      </c>
      <c r="G12" s="220" t="n">
        <v>26.59</v>
      </c>
      <c r="H12" s="220" t="n">
        <v>0</v>
      </c>
      <c r="I12" s="220" t="n">
        <v>26.59</v>
      </c>
    </row>
    <row r="13" ht="28" customHeight="1" s="132">
      <c r="A13" s="220" t="inlineStr">
        <is>
          <t>A2</t>
        </is>
      </c>
      <c r="B13" s="220" t="inlineStr">
        <is>
          <t>LOR-25001-PS</t>
        </is>
      </c>
      <c r="C13" s="237" t="n">
        <v>45828</v>
      </c>
      <c r="D13" s="220" t="n">
        <v>1210.32</v>
      </c>
      <c r="E13" s="220" t="n">
        <v>0</v>
      </c>
      <c r="F13" s="220" t="n">
        <v>1210.32</v>
      </c>
      <c r="G13" s="220" t="n">
        <v>12.1</v>
      </c>
      <c r="H13" s="220" t="n">
        <v>0</v>
      </c>
      <c r="I13" s="220" t="n">
        <v>12.1</v>
      </c>
    </row>
    <row r="14" ht="28" customHeight="1" s="132">
      <c r="A14" s="220" t="inlineStr">
        <is>
          <t>A3</t>
        </is>
      </c>
      <c r="B14" s="220" t="inlineStr">
        <is>
          <t>LOR-25001-AR</t>
        </is>
      </c>
      <c r="C14" s="237" t="n">
        <v>45828</v>
      </c>
      <c r="D14" s="220" t="n">
        <v>2940</v>
      </c>
      <c r="E14" s="220" t="n">
        <v>0</v>
      </c>
      <c r="F14" s="220" t="n">
        <v>2940</v>
      </c>
      <c r="G14" s="220" t="n">
        <v>29.4</v>
      </c>
      <c r="H14" s="220" t="n">
        <v>0</v>
      </c>
      <c r="I14" s="220" t="n">
        <v>29.4</v>
      </c>
    </row>
    <row r="15" ht="28" customHeight="1" s="132">
      <c r="A15" s="220" t="inlineStr">
        <is>
          <t>A4</t>
        </is>
      </c>
      <c r="B15" s="220" t="inlineStr">
        <is>
          <t>CI2523231947/RI066</t>
        </is>
      </c>
      <c r="C15" s="237" t="n">
        <v>45867</v>
      </c>
      <c r="D15" s="220" t="n">
        <v>1284.78</v>
      </c>
      <c r="E15" s="220" t="n">
        <v>0</v>
      </c>
      <c r="F15" s="220" t="n">
        <v>1284.78</v>
      </c>
      <c r="G15" s="220" t="n">
        <v>12.85</v>
      </c>
      <c r="H15" s="220" t="n">
        <v>0</v>
      </c>
      <c r="I15" s="220" t="n">
        <v>12.85</v>
      </c>
    </row>
    <row r="16" ht="28" customHeight="1" s="132">
      <c r="A16" s="220" t="inlineStr">
        <is>
          <t>A5</t>
        </is>
      </c>
      <c r="B16" s="220" t="inlineStr">
        <is>
          <t>CI2523371182/RI079</t>
        </is>
      </c>
      <c r="C16" s="237" t="n">
        <v>45880</v>
      </c>
      <c r="D16" s="220" t="n">
        <v>3390.5</v>
      </c>
      <c r="E16" s="220" t="n">
        <v>0</v>
      </c>
      <c r="F16" s="220" t="n">
        <v>3390.5</v>
      </c>
      <c r="G16" s="220" t="n">
        <v>33.91</v>
      </c>
      <c r="H16" s="220" t="n">
        <v>0</v>
      </c>
      <c r="I16" s="220" t="n">
        <v>33.91</v>
      </c>
    </row>
    <row r="17" ht="28" customHeight="1" s="132">
      <c r="A17" s="220" t="inlineStr">
        <is>
          <t>A6</t>
        </is>
      </c>
      <c r="B17" s="220" t="inlineStr">
        <is>
          <t>CI2523472694/RI083</t>
        </is>
      </c>
      <c r="C17" s="237" t="n">
        <v>45904</v>
      </c>
      <c r="D17" s="220" t="n">
        <v>725.75</v>
      </c>
      <c r="E17" s="220" t="n">
        <v>0</v>
      </c>
      <c r="F17" s="220" t="n">
        <v>725.75</v>
      </c>
      <c r="G17" s="220" t="n">
        <v>7.26</v>
      </c>
      <c r="H17" s="220" t="n">
        <v>0</v>
      </c>
      <c r="I17" s="220" t="n">
        <v>7.26</v>
      </c>
    </row>
    <row r="18" ht="28" customHeight="1" s="132">
      <c r="A18" s="220" t="inlineStr">
        <is>
          <t>A7</t>
        </is>
      </c>
      <c r="B18" s="220" t="inlineStr">
        <is>
          <t>CI2523735722/RI100</t>
        </is>
      </c>
      <c r="C18" s="237" t="n">
        <v>45926</v>
      </c>
      <c r="D18" s="220" t="n">
        <v>2493.9</v>
      </c>
      <c r="E18" s="220" t="n">
        <v>1292.46</v>
      </c>
      <c r="F18" s="220" t="n">
        <v>1201.44</v>
      </c>
      <c r="G18" s="220" t="n">
        <v>24.94</v>
      </c>
      <c r="H18" s="220" t="n">
        <v>12.92</v>
      </c>
      <c r="I18" s="220" t="n">
        <v>12.02</v>
      </c>
    </row>
    <row r="19" ht="28" customHeight="1" s="132">
      <c r="A19" t="inlineStr">
        <is>
          <t>AA1</t>
        </is>
      </c>
      <c r="B19" s="141" t="inlineStr">
        <is>
          <t>Aralıq yekun</t>
        </is>
      </c>
      <c r="C19" s="141" t="n"/>
      <c r="D19" s="222" t="n">
        <v>14704</v>
      </c>
      <c r="E19" s="222" t="n">
        <v>1292.46</v>
      </c>
      <c r="F19" s="222" t="n">
        <v>13411.54</v>
      </c>
      <c r="G19" s="222" t="n">
        <v>147.05</v>
      </c>
      <c r="H19" s="222" t="n">
        <v>12.92</v>
      </c>
      <c r="I19" s="222" t="n">
        <v>134.13</v>
      </c>
    </row>
    <row r="20" ht="18" customHeight="1" s="132">
      <c r="A20" t="inlineStr">
        <is>
          <t>B</t>
        </is>
      </c>
      <c r="B20" s="183" t="inlineStr">
        <is>
          <t>II qrup təkrarsığortaçılar</t>
        </is>
      </c>
    </row>
    <row r="21" ht="28" customHeight="1" s="132">
      <c r="A21" s="220" t="inlineStr">
        <is>
          <t>B1</t>
        </is>
      </c>
      <c r="B21" s="220" t="inlineStr">
        <is>
          <t>LOR-25001-VG</t>
        </is>
      </c>
      <c r="C21" s="237" t="n">
        <v>45838</v>
      </c>
      <c r="D21" s="220" t="n">
        <v>4334.72</v>
      </c>
      <c r="E21" s="220" t="n">
        <v>0</v>
      </c>
      <c r="F21" s="220" t="n">
        <v>4334.72</v>
      </c>
      <c r="G21" s="220" t="n">
        <v>43.35</v>
      </c>
      <c r="H21" s="220" t="n">
        <v>0</v>
      </c>
      <c r="I21" s="220" t="n">
        <v>43.35</v>
      </c>
    </row>
    <row r="22" ht="28" customHeight="1" s="132">
      <c r="A22" t="inlineStr">
        <is>
          <t>BB1</t>
        </is>
      </c>
      <c r="B22" s="29" t="inlineStr">
        <is>
          <t>Aralıq yekun</t>
        </is>
      </c>
      <c r="C22" s="29" t="n"/>
      <c r="D22" s="222" t="n">
        <v>4334.72</v>
      </c>
      <c r="E22" s="222" t="n">
        <v>0</v>
      </c>
      <c r="F22" s="222" t="n">
        <v>4334.72</v>
      </c>
      <c r="G22" s="222" t="n">
        <v>43.35</v>
      </c>
      <c r="H22" s="222" t="n">
        <v>0</v>
      </c>
      <c r="I22" s="222" t="n">
        <v>43.35</v>
      </c>
    </row>
    <row r="23" ht="15.6" customHeight="1" s="132">
      <c r="A23" t="inlineStr">
        <is>
          <t>C</t>
        </is>
      </c>
      <c r="B23" s="185" t="inlineStr">
        <is>
          <t>III qrup təkrarsığortaçılar</t>
        </is>
      </c>
    </row>
    <row r="24" ht="28" customHeight="1" s="132">
      <c r="A24" s="220" t="inlineStr">
        <is>
          <t>C1</t>
        </is>
      </c>
      <c r="B24" s="220" t="inlineStr">
        <is>
          <t>01/008/XST/2025</t>
        </is>
      </c>
      <c r="C24" s="237" t="n">
        <v>45828</v>
      </c>
      <c r="D24" s="220" t="n">
        <v>1704</v>
      </c>
      <c r="E24" s="220" t="n">
        <v>0</v>
      </c>
      <c r="F24" s="220" t="n">
        <v>1704</v>
      </c>
      <c r="G24" s="220" t="n">
        <v>17.04</v>
      </c>
      <c r="H24" s="220" t="n">
        <v>0</v>
      </c>
      <c r="I24" s="220" t="n">
        <v>17.04</v>
      </c>
    </row>
    <row r="25" ht="28" customHeight="1" s="132">
      <c r="A25" t="inlineStr">
        <is>
          <t>CC1</t>
        </is>
      </c>
      <c r="B25" s="29" t="inlineStr">
        <is>
          <t>Aralıq yekun</t>
        </is>
      </c>
      <c r="C25" s="29" t="n"/>
      <c r="D25" s="222" t="n">
        <v>1704</v>
      </c>
      <c r="E25" s="222" t="n">
        <v>0</v>
      </c>
      <c r="F25" s="222" t="n">
        <v>1704</v>
      </c>
      <c r="G25" s="222" t="n">
        <v>17.04</v>
      </c>
      <c r="H25" s="222" t="n">
        <v>0</v>
      </c>
      <c r="I25" s="222" t="n">
        <v>17.04</v>
      </c>
    </row>
    <row r="26">
      <c r="A26" t="inlineStr">
        <is>
          <t>D</t>
        </is>
      </c>
      <c r="B26" s="185" t="inlineStr">
        <is>
          <t>IV qrup təkrarsığortaçılar</t>
        </is>
      </c>
    </row>
    <row r="27" ht="28" customHeight="1" s="132">
      <c r="A27" t="inlineStr">
        <is>
          <t>DD1</t>
        </is>
      </c>
      <c r="B27" s="29" t="inlineStr">
        <is>
          <t>Aralıq yekun</t>
        </is>
      </c>
      <c r="C27" s="29" t="n"/>
      <c r="D27" s="222" t="n">
        <v>0</v>
      </c>
      <c r="E27" s="222" t="n">
        <v>0</v>
      </c>
      <c r="F27" s="222" t="n">
        <v>0</v>
      </c>
      <c r="G27" s="222" t="n">
        <v>0</v>
      </c>
      <c r="H27" s="222" t="n">
        <v>0</v>
      </c>
      <c r="I27" s="222" t="n">
        <v>0</v>
      </c>
    </row>
    <row r="28" ht="28" customHeight="1" s="132">
      <c r="A28" t="inlineStr">
        <is>
          <t>ZZ1</t>
        </is>
      </c>
      <c r="B28" s="34" t="inlineStr">
        <is>
          <t>Yekun BTSH</t>
        </is>
      </c>
      <c r="C28" s="34" t="n"/>
      <c r="D28" s="222" t="n">
        <v>20742.72</v>
      </c>
      <c r="E28" s="222" t="n">
        <v>1292.46</v>
      </c>
      <c r="F28" s="222" t="n">
        <v>19450.26</v>
      </c>
      <c r="G28" s="222" t="n">
        <v>207.44</v>
      </c>
      <c r="H28" s="222" t="n">
        <v>12.92</v>
      </c>
      <c r="I28" s="222" t="n">
        <v>194.52</v>
      </c>
    </row>
    <row r="29">
      <c r="B29" s="71" t="n"/>
      <c r="C29" s="71" t="n"/>
      <c r="D29" s="71" t="n"/>
      <c r="E29" s="71" t="n"/>
      <c r="F29" s="71" t="n"/>
    </row>
    <row r="30">
      <c r="B30" s="187" t="inlineStr">
        <is>
          <t>İdarə heyətinin sədri ____________________________       _____________</t>
        </is>
      </c>
    </row>
    <row r="31">
      <c r="B31" s="182" t="inlineStr">
        <is>
          <t xml:space="preserve">                                     (s.a.a)                                     (imza)</t>
        </is>
      </c>
    </row>
    <row r="32">
      <c r="B32" s="187" t="inlineStr">
        <is>
          <t>Baş mühasib _______________________       _____________</t>
        </is>
      </c>
    </row>
    <row r="33">
      <c r="B33" s="182" t="inlineStr">
        <is>
          <t xml:space="preserve">                                    (s.a.a)                                      (imza)</t>
        </is>
      </c>
    </row>
    <row r="34">
      <c r="B34" s="71" t="n"/>
      <c r="C34" s="71" t="n"/>
      <c r="D34" s="35" t="n"/>
      <c r="E34" s="71" t="n"/>
      <c r="F34" s="101" t="inlineStr">
        <is>
          <t>М.Й.</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35"/>
  <sheetViews>
    <sheetView workbookViewId="0">
      <selection activeCell="E7" sqref="E7"/>
    </sheetView>
  </sheetViews>
  <sheetFormatPr baseColWidth="8" defaultRowHeight="18"/>
  <cols>
    <col width="8.88671875" customWidth="1" style="71" min="1" max="1"/>
    <col width="22" customWidth="1" style="71" min="2" max="2"/>
    <col width="21.21875" customWidth="1" style="71" min="3" max="3"/>
    <col width="23.44140625" customWidth="1" style="71" min="4" max="4"/>
    <col width="19.5546875" customWidth="1" style="71" min="5" max="5"/>
    <col width="20.5546875" customWidth="1" style="71" min="6" max="6"/>
    <col width="20.5546875" customWidth="1" style="132" min="7" max="7"/>
    <col width="21.5546875" customWidth="1" style="132" min="8" max="8"/>
    <col width="8.88671875" customWidth="1" style="132" min="9" max="16384"/>
  </cols>
  <sheetData>
    <row r="1" ht="41.4" customHeight="1" s="132">
      <c r="A1" s="71" t="n"/>
      <c r="B1" s="27" t="n"/>
      <c r="C1" s="27" t="n"/>
      <c r="D1" s="27" t="n"/>
      <c r="E1" s="174" t="inlineStr">
        <is>
          <t>«Həyat sığortası və qeyri-həyat sığortası
üzrə sığorta ehtiyatlarının formalaşdırılması
Qaydaları»na Əlavə № 3</t>
        </is>
      </c>
    </row>
    <row r="2" s="132">
      <c r="A2" s="71" t="n"/>
      <c r="B2" s="189" t="inlineStr">
        <is>
          <t>Forma № 8-5</t>
        </is>
      </c>
      <c r="C2" s="27" t="n"/>
      <c r="D2" s="27" t="n"/>
      <c r="E2" s="200" t="n"/>
      <c r="F2" s="27" t="n"/>
    </row>
    <row r="3" ht="20.4" customHeight="1" s="132">
      <c r="A3" s="71" t="n"/>
      <c r="B3" s="179" t="inlineStr">
        <is>
          <t xml:space="preserve"> Qazanılmamış sığorta haqları ehtiyatının baza hissəsində təkrarsığortaçıların payı</t>
        </is>
      </c>
    </row>
    <row r="4" s="132">
      <c r="A4" s="71" t="n"/>
      <c r="B4" s="176" t="n">
        <v>0</v>
      </c>
    </row>
    <row r="5" s="132">
      <c r="A5" s="71" t="n"/>
      <c r="B5" s="177" t="inlineStr">
        <is>
          <t xml:space="preserve">    (sığortaçının (təkrarsığortaçının)  adı)</t>
        </is>
      </c>
    </row>
    <row r="6" s="132">
      <c r="A6" s="71" t="n"/>
      <c r="B6" s="11" t="n"/>
      <c r="D6" s="12" t="inlineStr">
        <is>
          <t>01.01.2026</t>
        </is>
      </c>
      <c r="E6" s="11" t="inlineStr">
        <is>
          <t xml:space="preserve"> -cı il  tarixə</t>
        </is>
      </c>
      <c r="F6" s="11" t="n"/>
    </row>
    <row r="7" s="132">
      <c r="A7" s="71" t="n"/>
      <c r="B7" s="13" t="n"/>
      <c r="C7" s="13" t="n"/>
      <c r="D7" s="13" t="n"/>
      <c r="E7" s="13" t="n"/>
      <c r="F7" s="13" t="n"/>
    </row>
    <row r="8" s="132">
      <c r="A8" s="71" t="n"/>
      <c r="B8" s="14" t="inlineStr">
        <is>
          <t>Sığortanın sinifi ____________________________</t>
        </is>
      </c>
      <c r="C8" s="219" t="inlineStr">
        <is>
          <t>(08)Yuk</t>
        </is>
      </c>
      <c r="D8" s="15" t="n"/>
      <c r="E8" s="13" t="n"/>
      <c r="F8" s="13" t="n"/>
    </row>
    <row r="9" ht="138" customHeight="1" s="132">
      <c r="A9" s="71" t="n"/>
      <c r="B9" s="18" t="inlineStr">
        <is>
          <t>Təkrarsığorta müqavilələri (təkrarsığortaya verilmiş risklər üzrə)</t>
        </is>
      </c>
      <c r="C9" s="18" t="inlineStr">
        <is>
          <t>Baza təkrarsığorta haqqı</t>
        </is>
      </c>
      <c r="D9" s="18" t="inlineStr">
        <is>
          <t>Müqavilənin qüvvədə olma müddəti (günlərlə)</t>
        </is>
      </c>
      <c r="E9" s="18" t="inlineStr">
        <is>
          <t xml:space="preserve">Müqavilənin qüvvəyə mindiyi andan hesabat tarixinə qədər günlərin sayı </t>
        </is>
      </c>
      <c r="F9" s="18" t="inlineStr">
        <is>
          <t>Qazanılmamış təkrarsığorta haqqı (süt.2x(süt.3-süt.4)/süt.3)</t>
        </is>
      </c>
      <c r="G9" s="18" t="inlineStr">
        <is>
          <t>Baza təkrarsığorta haqqının katastrofik risk təminatına düşən hissəsi</t>
        </is>
      </c>
      <c r="H9" s="18" t="inlineStr">
        <is>
          <t>Qazanılmamış təkrarsığorta haqqının katastrofik risk təminatına düşən hissəsi
(VIx(III- IV)/III)</t>
        </is>
      </c>
    </row>
    <row r="10">
      <c r="B10" s="33" t="inlineStr">
        <is>
          <t>I</t>
        </is>
      </c>
      <c r="C10" s="33" t="inlineStr">
        <is>
          <t>II</t>
        </is>
      </c>
      <c r="D10" s="33" t="inlineStr">
        <is>
          <t>III</t>
        </is>
      </c>
      <c r="E10" s="33" t="inlineStr">
        <is>
          <t>IV</t>
        </is>
      </c>
      <c r="F10" s="33" t="inlineStr">
        <is>
          <t>V</t>
        </is>
      </c>
      <c r="G10" s="33" t="inlineStr">
        <is>
          <t>VI</t>
        </is>
      </c>
      <c r="H10" s="33" t="inlineStr">
        <is>
          <t>VII</t>
        </is>
      </c>
    </row>
    <row r="11" ht="15.6" customHeight="1" s="132">
      <c r="A11" s="38" t="inlineStr">
        <is>
          <t>A</t>
        </is>
      </c>
      <c r="B11" s="39" t="n"/>
      <c r="C11" s="40" t="n"/>
      <c r="D11" s="39" t="inlineStr">
        <is>
          <t>I qrup təkrarsığortaçılar</t>
        </is>
      </c>
      <c r="E11" s="40" t="n"/>
      <c r="F11" s="41" t="n"/>
      <c r="G11" s="41" t="n"/>
      <c r="H11" s="41" t="n"/>
    </row>
    <row r="12" ht="28" customHeight="1" s="132">
      <c r="A12" s="220" t="inlineStr">
        <is>
          <t>A1</t>
        </is>
      </c>
      <c r="B12" s="220" t="inlineStr">
        <is>
          <t>CI2522715202/RI041</t>
        </is>
      </c>
      <c r="C12" s="220" t="n">
        <v>2658.75</v>
      </c>
      <c r="D12" s="220" t="n">
        <v>93</v>
      </c>
      <c r="E12" s="220" t="n">
        <v>241</v>
      </c>
      <c r="F12" s="220" t="n">
        <v>-4231.13</v>
      </c>
      <c r="G12" s="220" t="n">
        <v>26.59</v>
      </c>
      <c r="H12" s="220" t="n">
        <v>-42.32</v>
      </c>
    </row>
    <row r="13" ht="28" customHeight="1" s="132">
      <c r="A13" s="220" t="inlineStr">
        <is>
          <t>A2</t>
        </is>
      </c>
      <c r="B13" s="220" t="inlineStr">
        <is>
          <t>LOR-25001-PS</t>
        </is>
      </c>
      <c r="C13" s="220" t="n">
        <v>1210.32</v>
      </c>
      <c r="D13" s="220" t="n">
        <v>365</v>
      </c>
      <c r="E13" s="220" t="n">
        <v>246</v>
      </c>
      <c r="F13" s="220" t="n">
        <v>394.6</v>
      </c>
      <c r="G13" s="220" t="n">
        <v>12.1</v>
      </c>
      <c r="H13" s="220" t="n">
        <v>3.94</v>
      </c>
    </row>
    <row r="14" ht="28" customHeight="1" s="132">
      <c r="A14" s="220" t="inlineStr">
        <is>
          <t>A3</t>
        </is>
      </c>
      <c r="B14" s="220" t="inlineStr">
        <is>
          <t>LOR-25001-AR</t>
        </is>
      </c>
      <c r="C14" s="220" t="n">
        <v>2940</v>
      </c>
      <c r="D14" s="220" t="n">
        <v>365</v>
      </c>
      <c r="E14" s="220" t="n">
        <v>246</v>
      </c>
      <c r="F14" s="220" t="n">
        <v>958.52</v>
      </c>
      <c r="G14" s="220" t="n">
        <v>29.4</v>
      </c>
      <c r="H14" s="220" t="n">
        <v>9.59</v>
      </c>
    </row>
    <row r="15" ht="28" customHeight="1" s="132">
      <c r="A15" s="220" t="inlineStr">
        <is>
          <t>A4</t>
        </is>
      </c>
      <c r="B15" s="220" t="inlineStr">
        <is>
          <t>CI2523231947/RI066</t>
        </is>
      </c>
      <c r="C15" s="220" t="n">
        <v>1284.78</v>
      </c>
      <c r="D15" s="220" t="n">
        <v>32</v>
      </c>
      <c r="E15" s="220" t="n">
        <v>164</v>
      </c>
      <c r="F15" s="220" t="n">
        <v>-5299.72</v>
      </c>
      <c r="G15" s="220" t="n">
        <v>12.85</v>
      </c>
      <c r="H15" s="220" t="n">
        <v>-53.01</v>
      </c>
    </row>
    <row r="16" ht="28" customHeight="1" s="132">
      <c r="A16" s="220" t="inlineStr">
        <is>
          <t>A5</t>
        </is>
      </c>
      <c r="B16" s="220" t="inlineStr">
        <is>
          <t>CI2523371182/RI079</t>
        </is>
      </c>
      <c r="C16" s="220" t="n">
        <v>3390.5</v>
      </c>
      <c r="D16" s="220" t="n">
        <v>92</v>
      </c>
      <c r="E16" s="220" t="n">
        <v>147</v>
      </c>
      <c r="F16" s="220" t="n">
        <v>-2026.93</v>
      </c>
      <c r="G16" s="220" t="n">
        <v>33.91</v>
      </c>
      <c r="H16" s="220" t="n">
        <v>-20.27</v>
      </c>
    </row>
    <row r="17" ht="28" customHeight="1" s="132">
      <c r="A17" s="220" t="inlineStr">
        <is>
          <t>A6</t>
        </is>
      </c>
      <c r="B17" s="220" t="inlineStr">
        <is>
          <t>CI2523472694/RI083</t>
        </is>
      </c>
      <c r="C17" s="220" t="n">
        <v>725.75</v>
      </c>
      <c r="D17" s="220" t="n">
        <v>92</v>
      </c>
      <c r="E17" s="220" t="n">
        <v>133</v>
      </c>
      <c r="F17" s="220" t="n">
        <v>-323.43</v>
      </c>
      <c r="G17" s="220" t="n">
        <v>7.26</v>
      </c>
      <c r="H17" s="220" t="n">
        <v>-3.24</v>
      </c>
    </row>
    <row r="18" ht="28" customHeight="1" s="132">
      <c r="A18" s="220" t="inlineStr">
        <is>
          <t>A7</t>
        </is>
      </c>
      <c r="B18" s="220" t="inlineStr">
        <is>
          <t>CI2523735722/RI100</t>
        </is>
      </c>
      <c r="C18" s="220" t="n">
        <v>1201.44</v>
      </c>
      <c r="D18" s="220" t="n">
        <v>365</v>
      </c>
      <c r="E18" s="220" t="n">
        <v>93</v>
      </c>
      <c r="F18" s="220" t="n">
        <v>895.3200000000001</v>
      </c>
      <c r="G18" s="220" t="n">
        <v>12.01</v>
      </c>
      <c r="H18" s="220" t="n">
        <v>8.949999999999999</v>
      </c>
    </row>
    <row r="19" ht="28" customHeight="1" s="132">
      <c r="A19" s="38" t="inlineStr">
        <is>
          <t>AA1</t>
        </is>
      </c>
      <c r="B19" s="29" t="inlineStr">
        <is>
          <t>Aralıq yekun</t>
        </is>
      </c>
      <c r="C19" s="222" t="n">
        <v>13411.54</v>
      </c>
      <c r="D19" s="29" t="n"/>
      <c r="E19" s="29" t="n"/>
      <c r="F19" s="222" t="n">
        <v>-9632.77</v>
      </c>
      <c r="G19" s="222" t="n">
        <v>134.12</v>
      </c>
      <c r="H19" s="222" t="n">
        <v>-96.36</v>
      </c>
    </row>
    <row r="20" ht="45" customHeight="1" s="132">
      <c r="A20" s="38" t="inlineStr">
        <is>
          <t>B</t>
        </is>
      </c>
      <c r="B20" s="42" t="n"/>
      <c r="C20" s="43" t="n"/>
      <c r="D20" s="42" t="inlineStr">
        <is>
          <t>II qrup təkrarsığortaçılar</t>
        </is>
      </c>
      <c r="E20" s="43" t="n"/>
      <c r="F20" s="44" t="n"/>
      <c r="G20" s="44" t="n"/>
      <c r="H20" s="44" t="n"/>
    </row>
    <row r="21" ht="28" customHeight="1" s="132">
      <c r="A21" s="220" t="inlineStr">
        <is>
          <t>B1</t>
        </is>
      </c>
      <c r="B21" s="220" t="inlineStr">
        <is>
          <t>LOR-25001-VG</t>
        </is>
      </c>
      <c r="C21" s="220" t="n">
        <v>4334.72</v>
      </c>
      <c r="D21" s="220" t="n">
        <v>365</v>
      </c>
      <c r="E21" s="220" t="n">
        <v>246</v>
      </c>
      <c r="F21" s="220" t="n">
        <v>1413.24</v>
      </c>
      <c r="G21" s="220" t="n">
        <v>43.35</v>
      </c>
      <c r="H21" s="220" t="n">
        <v>14.13</v>
      </c>
    </row>
    <row r="22" ht="28" customHeight="1" s="132">
      <c r="A22" s="38" t="inlineStr">
        <is>
          <t>BB1</t>
        </is>
      </c>
      <c r="B22" s="29" t="inlineStr">
        <is>
          <t>Aralıq yekun</t>
        </is>
      </c>
      <c r="C22" s="222" t="n">
        <v>4334.72</v>
      </c>
      <c r="D22" s="29" t="n"/>
      <c r="E22" s="29" t="n"/>
      <c r="F22" s="222" t="n">
        <v>1413.24</v>
      </c>
      <c r="G22" s="222" t="n">
        <v>43.35</v>
      </c>
      <c r="H22" s="222" t="n">
        <v>14.13</v>
      </c>
    </row>
    <row r="23">
      <c r="A23" s="38" t="inlineStr">
        <is>
          <t>C</t>
        </is>
      </c>
      <c r="B23" s="42" t="n"/>
      <c r="C23" s="43" t="n"/>
      <c r="D23" s="42" t="inlineStr">
        <is>
          <t>III qrup təkrarsığortaçılar</t>
        </is>
      </c>
      <c r="E23" s="43" t="n"/>
      <c r="F23" s="44" t="n"/>
      <c r="G23" s="44" t="n"/>
      <c r="H23" s="44" t="n"/>
    </row>
    <row r="24" ht="28" customHeight="1" s="132">
      <c r="A24" s="220" t="inlineStr">
        <is>
          <t>C1</t>
        </is>
      </c>
      <c r="B24" s="220" t="inlineStr">
        <is>
          <t>01/008/XST/2025</t>
        </is>
      </c>
      <c r="C24" s="220" t="n">
        <v>1704</v>
      </c>
      <c r="D24" s="220" t="n">
        <v>365</v>
      </c>
      <c r="E24" s="220" t="n">
        <v>246</v>
      </c>
      <c r="F24" s="220" t="n">
        <v>555.55</v>
      </c>
      <c r="G24" s="220" t="n">
        <v>17.04</v>
      </c>
      <c r="H24" s="220" t="n">
        <v>5.56</v>
      </c>
    </row>
    <row r="25" ht="28" customHeight="1" s="132">
      <c r="A25" s="38" t="inlineStr">
        <is>
          <t>CC1</t>
        </is>
      </c>
      <c r="B25" s="29" t="inlineStr">
        <is>
          <t>Aralıq yekun</t>
        </is>
      </c>
      <c r="C25" s="222" t="n">
        <v>1704</v>
      </c>
      <c r="D25" s="29" t="n"/>
      <c r="E25" s="29" t="n"/>
      <c r="F25" s="222" t="n">
        <v>555.55</v>
      </c>
      <c r="G25" s="222" t="n">
        <v>17.04</v>
      </c>
      <c r="H25" s="222" t="n">
        <v>5.56</v>
      </c>
    </row>
    <row r="26">
      <c r="A26" s="38" t="inlineStr">
        <is>
          <t>D</t>
        </is>
      </c>
      <c r="B26" s="42" t="n"/>
      <c r="C26" s="43" t="n"/>
      <c r="D26" s="42" t="inlineStr">
        <is>
          <t>IV qrup təkrarsığortaçılar</t>
        </is>
      </c>
      <c r="E26" s="43" t="n"/>
      <c r="F26" s="44" t="n"/>
      <c r="G26" s="44" t="n"/>
      <c r="H26" s="44" t="n"/>
    </row>
    <row r="27" ht="28" customHeight="1" s="132">
      <c r="A27" s="38" t="inlineStr">
        <is>
          <t>DD1</t>
        </is>
      </c>
      <c r="B27" s="45" t="inlineStr">
        <is>
          <t>Aralıq yekun</t>
        </is>
      </c>
      <c r="C27" s="222" t="n">
        <v>0</v>
      </c>
      <c r="D27" s="29" t="n"/>
      <c r="E27" s="29" t="n"/>
      <c r="F27" s="222" t="n">
        <v>0</v>
      </c>
      <c r="G27" s="222" t="n">
        <v>0</v>
      </c>
      <c r="H27" s="222" t="n">
        <v>0</v>
      </c>
    </row>
    <row r="28" ht="28" customHeight="1" s="132">
      <c r="A28" s="38" t="inlineStr">
        <is>
          <t>ZZ1</t>
        </is>
      </c>
      <c r="B28" s="45" t="inlineStr">
        <is>
          <t>Yekun</t>
        </is>
      </c>
      <c r="C28" s="222" t="n">
        <v>19450.26</v>
      </c>
      <c r="D28" s="29" t="n"/>
      <c r="E28" s="29" t="n"/>
      <c r="F28" s="222" t="n">
        <v>-7663.98</v>
      </c>
      <c r="G28" s="238" t="n">
        <v>194.51</v>
      </c>
      <c r="H28" s="222" t="n">
        <v>-76.67</v>
      </c>
    </row>
    <row r="29">
      <c r="B29" s="178" t="inlineStr">
        <is>
          <t>QEYD: II sütunda «Sığorta ehtiyatlarının formalaşdırılması Qaydaları»na 3 saylı Əlavədəki Forma № 8-4-ün IV sütunu üzrə təkrarsığortaçıların qruplarından asılı olaraq alınan məbləğlər göstərilir. 2. "Yekun" sətiri üzrə V sütunda həmin sütun üzrə əvvəlki sətirlərdəki "Aralıq yekun"ların cəmi göstərilir.</t>
        </is>
      </c>
    </row>
    <row r="30">
      <c r="B30" s="178" t="inlineStr">
        <is>
          <t> </t>
        </is>
      </c>
      <c r="F30" s="118" t="n"/>
    </row>
    <row r="31">
      <c r="B31" s="172" t="inlineStr">
        <is>
          <t>İdarə heyətinin sədri ____________________________       _____________</t>
        </is>
      </c>
      <c r="F31" s="27" t="n"/>
    </row>
    <row r="32">
      <c r="B32" s="173" t="inlineStr">
        <is>
          <t xml:space="preserve">                                     (s.a.a)                                     (imza)</t>
        </is>
      </c>
      <c r="F32" s="27" t="n"/>
    </row>
    <row r="33">
      <c r="B33" s="172" t="inlineStr">
        <is>
          <t>Baş mühasib _______________________       _____________</t>
        </is>
      </c>
      <c r="F33" s="27" t="n"/>
    </row>
    <row r="34">
      <c r="B34" s="173" t="inlineStr">
        <is>
          <t xml:space="preserve">                                    (s.a.a)                                      (imza)</t>
        </is>
      </c>
      <c r="F34" s="27" t="n"/>
    </row>
    <row r="35">
      <c r="B35" s="27" t="n"/>
      <c r="C35" s="27" t="n"/>
      <c r="D35" s="27" t="n"/>
      <c r="E35" s="26" t="inlineStr">
        <is>
          <t>M.Y.</t>
        </is>
      </c>
      <c r="F35" s="27"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E7" sqref="E7"/>
    </sheetView>
  </sheetViews>
  <sheetFormatPr baseColWidth="8" defaultRowHeight="14.4"/>
  <cols>
    <col width="8.88671875" customWidth="1" style="132" min="1" max="1"/>
    <col width="24.77734375" customWidth="1" style="132" min="2" max="2"/>
    <col width="24.44140625" customWidth="1" style="132" min="3" max="3"/>
    <col width="24.77734375" customWidth="1" style="132" min="4" max="5"/>
    <col width="8.88671875" customWidth="1" style="132" min="6" max="16384"/>
  </cols>
  <sheetData>
    <row r="1" ht="51" customHeight="1" s="132">
      <c r="B1" s="175" t="n"/>
      <c r="C1" s="32" t="n"/>
      <c r="D1" s="174" t="inlineStr">
        <is>
          <t>«Həyat sığortası və qeyri-həyat sığortası
üzrə sığorta ehtiyatlarının formalaşdırılması
Qaydaları»na Əlavə № 3</t>
        </is>
      </c>
    </row>
    <row r="2" ht="18" customHeight="1" s="132">
      <c r="B2" s="189" t="inlineStr">
        <is>
          <t>Forma № 8-6</t>
        </is>
      </c>
      <c r="C2" s="32" t="n"/>
      <c r="D2" s="200" t="n"/>
      <c r="E2" s="130" t="n"/>
    </row>
    <row r="3" ht="17.4" customHeight="1" s="132">
      <c r="B3" s="175" t="inlineStr">
        <is>
          <t>Qazanılmamış sığorta haqları ehtiyatının əlavə hissəsi</t>
        </is>
      </c>
    </row>
    <row r="4" ht="17.4" customHeight="1" s="132">
      <c r="B4" s="176" t="n">
        <v>0</v>
      </c>
    </row>
    <row r="5" ht="15.6" customHeight="1" s="132">
      <c r="B5" s="177" t="inlineStr">
        <is>
          <t xml:space="preserve">    (sığortaçının (təkrarsığortaçının)  adı)</t>
        </is>
      </c>
    </row>
    <row r="6" ht="17.4" customHeight="1" s="132">
      <c r="B6" s="11" t="n"/>
      <c r="D6" s="12" t="inlineStr">
        <is>
          <t>01.01.2026</t>
        </is>
      </c>
      <c r="E6" s="11" t="inlineStr">
        <is>
          <t xml:space="preserve"> -cı il  tarixə</t>
        </is>
      </c>
    </row>
    <row r="7" ht="17.4" customHeight="1" s="132">
      <c r="B7" s="13" t="n"/>
      <c r="C7" s="13" t="n"/>
      <c r="D7" s="13" t="n"/>
      <c r="E7" s="13" t="n"/>
    </row>
    <row r="8" ht="18" customHeight="1" s="132">
      <c r="B8" s="14" t="inlineStr">
        <is>
          <t>Sığortanın sinifi ____________________________</t>
        </is>
      </c>
      <c r="C8" s="219" t="inlineStr">
        <is>
          <t>(08)Yuk</t>
        </is>
      </c>
      <c r="D8" s="15" t="n"/>
      <c r="E8" s="13" t="n"/>
    </row>
    <row r="9" ht="18" customHeight="1" s="132">
      <c r="B9" s="71" t="n"/>
      <c r="C9" s="71" t="n"/>
      <c r="D9" s="71" t="n"/>
      <c r="E9" s="71" t="n"/>
    </row>
    <row r="10" ht="104.4" customHeight="1" s="132">
      <c r="B10" s="18" t="inlineStr">
        <is>
          <t>Təkrarsığortaçı-ların qrupları</t>
        </is>
      </c>
      <c r="C10" s="18" t="inlineStr">
        <is>
          <t>Qazanılmamış sığorta haqları ehtiyatının baza hissəsində təkrarsığortaçıların payı</t>
        </is>
      </c>
      <c r="D10" s="18" t="inlineStr">
        <is>
          <t>Təkrarsığortaçıların qrupları üzrə əmsallar,
%</t>
        </is>
      </c>
      <c r="E10" s="18" t="inlineStr">
        <is>
          <t>Qazanılmamış sığorta haqları ehtiyatının əlavə hissəsi (süt.2xsüt.3)</t>
        </is>
      </c>
    </row>
    <row r="11" ht="17.4" customHeight="1" s="132">
      <c r="B11" s="33" t="inlineStr">
        <is>
          <t>I</t>
        </is>
      </c>
      <c r="C11" s="19" t="inlineStr">
        <is>
          <t>II</t>
        </is>
      </c>
      <c r="D11" s="19" t="inlineStr">
        <is>
          <t>III</t>
        </is>
      </c>
      <c r="E11" s="19" t="inlineStr">
        <is>
          <t>IV</t>
        </is>
      </c>
    </row>
    <row r="12" ht="36" customHeight="1" s="132">
      <c r="A12" t="inlineStr">
        <is>
          <t>A1</t>
        </is>
      </c>
      <c r="B12" s="47" t="inlineStr">
        <is>
          <t>I qrup təkrarsığortaçılar</t>
        </is>
      </c>
      <c r="C12" s="220" t="n">
        <v>-9632.77</v>
      </c>
      <c r="D12" s="50" t="n">
        <v>0</v>
      </c>
      <c r="E12" s="220" t="n">
        <v>0</v>
      </c>
    </row>
    <row r="13" ht="36" customHeight="1" s="132">
      <c r="A13" t="inlineStr">
        <is>
          <t>A2</t>
        </is>
      </c>
      <c r="B13" s="47" t="inlineStr">
        <is>
          <t>II qrup təkrarsığortaçılar</t>
        </is>
      </c>
      <c r="C13" s="220" t="n">
        <v>1413.24</v>
      </c>
      <c r="D13" s="50" t="n">
        <v>15</v>
      </c>
      <c r="E13" s="220" t="n">
        <v>211.99</v>
      </c>
    </row>
    <row r="14" ht="36" customHeight="1" s="132">
      <c r="A14" t="inlineStr">
        <is>
          <t>A3</t>
        </is>
      </c>
      <c r="B14" s="47" t="inlineStr">
        <is>
          <t>IIIqrup təkrarsığortaçılar</t>
        </is>
      </c>
      <c r="C14" s="220" t="n">
        <v>555.55</v>
      </c>
      <c r="D14" s="50" t="n">
        <v>25</v>
      </c>
      <c r="E14" s="220" t="n">
        <v>138.89</v>
      </c>
    </row>
    <row r="15" ht="36" customHeight="1" s="132">
      <c r="A15" t="inlineStr">
        <is>
          <t>A4</t>
        </is>
      </c>
      <c r="B15" s="47" t="inlineStr">
        <is>
          <t>IV qrup təkrarsığortaçılar</t>
        </is>
      </c>
      <c r="C15" s="220" t="n">
        <v>0</v>
      </c>
      <c r="D15" s="50" t="n">
        <v>50</v>
      </c>
      <c r="E15" s="220" t="n">
        <v>0</v>
      </c>
    </row>
    <row r="16" ht="18" customHeight="1" s="132">
      <c r="A16" t="inlineStr">
        <is>
          <t>B1</t>
        </is>
      </c>
      <c r="B16" s="49" t="inlineStr">
        <is>
          <t>Yekun QSHEƏ</t>
        </is>
      </c>
      <c r="C16" s="222" t="n">
        <v>-7663.98</v>
      </c>
      <c r="D16" s="50" t="inlineStr">
        <is>
          <t>X</t>
        </is>
      </c>
      <c r="E16" s="222" t="n">
        <v>350.88</v>
      </c>
    </row>
    <row r="17" ht="37.8" customHeight="1" s="132">
      <c r="B17" s="178" t="inlineStr">
        <is>
          <t>QEYD: II sütunda «Sığorta ehtiyatlarının formalaşdırılması Qaydaları»na 3 saylı Əlavədəki Forma № 8-5-in V sütunu üzrə alınan müvafiq "Aralıq yekun"ların məbləğləri göstərilir.</t>
        </is>
      </c>
    </row>
    <row r="18" ht="15.6" customHeight="1" s="132">
      <c r="B18" s="172" t="inlineStr">
        <is>
          <t>İdarə heyətinin sədri ____________________________       _____________</t>
        </is>
      </c>
    </row>
    <row r="19">
      <c r="B19" s="173" t="inlineStr">
        <is>
          <t xml:space="preserve">                                     (s.a.a)                                     (imza)</t>
        </is>
      </c>
    </row>
    <row r="20" ht="15.6" customHeight="1" s="132">
      <c r="B20" s="24" t="n"/>
      <c r="C20" s="130" t="n"/>
      <c r="D20" s="130" t="n"/>
      <c r="E20" s="130" t="n"/>
    </row>
    <row r="21" ht="15.6" customHeight="1" s="132">
      <c r="B21" s="172" t="inlineStr">
        <is>
          <t>Baş mühasib _______________________       _____________</t>
        </is>
      </c>
    </row>
    <row r="22">
      <c r="B22" s="173" t="inlineStr">
        <is>
          <t xml:space="preserve">                                    (s.a.a)                                      (imza)</t>
        </is>
      </c>
    </row>
    <row r="23" ht="18" customHeight="1" s="132">
      <c r="B23" s="27" t="n"/>
      <c r="C23" s="173" t="n"/>
      <c r="D23" s="27" t="n"/>
      <c r="E23" s="26" t="inlineStr">
        <is>
          <t>M.Y.</t>
        </is>
      </c>
    </row>
    <row r="24">
      <c r="B24" s="130" t="n"/>
      <c r="C24" s="130" t="n"/>
      <c r="D24" s="130" t="n"/>
      <c r="E24" s="130" t="n"/>
    </row>
  </sheetData>
  <mergeCells count="9">
    <mergeCell ref="B17:E17"/>
    <mergeCell ref="B18:E18"/>
    <mergeCell ref="B4:E4"/>
    <mergeCell ref="D1:E1"/>
    <mergeCell ref="B21:E21"/>
    <mergeCell ref="B3:E3"/>
    <mergeCell ref="B19:E19"/>
    <mergeCell ref="B5:E5"/>
    <mergeCell ref="B22:E2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8"/>
  <sheetViews>
    <sheetView workbookViewId="0">
      <selection activeCell="E7" sqref="E7"/>
    </sheetView>
  </sheetViews>
  <sheetFormatPr baseColWidth="8" defaultRowHeight="18"/>
  <cols>
    <col width="8.88671875" customWidth="1" style="71" min="1" max="1"/>
    <col width="23.21875" customWidth="1" style="71" min="2" max="2"/>
    <col width="9.44140625" customWidth="1" style="71" min="3" max="3"/>
    <col width="18.77734375" bestFit="1" customWidth="1" style="71" min="4" max="4"/>
    <col width="24.21875" customWidth="1" style="71" min="5" max="5"/>
    <col width="17.21875" customWidth="1" style="71" min="6" max="6"/>
    <col width="20" customWidth="1" style="71" min="7" max="7"/>
    <col width="8.88671875" customWidth="1" style="132" min="8" max="16384"/>
  </cols>
  <sheetData>
    <row r="1" s="132">
      <c r="A1" s="71" t="n"/>
      <c r="B1" s="27" t="n"/>
      <c r="C1" s="27" t="n"/>
      <c r="D1" s="27" t="n"/>
      <c r="E1" s="55" t="n"/>
      <c r="F1" s="174" t="inlineStr">
        <is>
          <t>«Həyat sığortası və qeyri-həyat sığortası
üzrə sığorta ehtiyatlarının formalaşdırılması
Qaydaları»na Əlavə № 3</t>
        </is>
      </c>
    </row>
    <row r="2" s="132">
      <c r="A2" s="71" t="n"/>
      <c r="B2" s="189" t="inlineStr">
        <is>
          <t>Forma № 8-3</t>
        </is>
      </c>
      <c r="C2" s="27" t="n"/>
      <c r="D2" s="27" t="n"/>
      <c r="E2" s="200" t="n"/>
      <c r="F2" s="200" t="n"/>
      <c r="G2" s="27" t="n"/>
    </row>
    <row r="3" s="132">
      <c r="A3" s="71" t="n"/>
      <c r="B3" s="189" t="inlineStr">
        <is>
          <t xml:space="preserve">Bildirilmiş, lakin tənzimlənməmiş zərərlər ehtiyatı </t>
        </is>
      </c>
    </row>
    <row r="4" s="132">
      <c r="A4" s="71" t="n"/>
      <c r="B4" s="176" t="n">
        <v>0</v>
      </c>
    </row>
    <row r="5" s="132">
      <c r="A5" s="71" t="n"/>
      <c r="B5" s="177" t="inlineStr">
        <is>
          <t xml:space="preserve">    (sığortaçının (təkrarsığortaçının)  adı)</t>
        </is>
      </c>
    </row>
    <row r="6" s="132">
      <c r="A6" s="71" t="n"/>
      <c r="B6" s="11" t="n"/>
      <c r="C6" s="11" t="n"/>
      <c r="D6" s="12" t="inlineStr">
        <is>
          <t>01.01.2026</t>
        </is>
      </c>
      <c r="E6" s="11" t="inlineStr">
        <is>
          <t xml:space="preserve"> -cı il  tarixə</t>
        </is>
      </c>
      <c r="F6" s="11" t="n"/>
      <c r="G6" s="11" t="n"/>
    </row>
    <row r="7" s="132">
      <c r="A7" s="71" t="n"/>
      <c r="B7" s="11" t="n"/>
      <c r="C7" s="11" t="n"/>
      <c r="D7" s="12" t="n"/>
      <c r="E7" s="11" t="n"/>
      <c r="F7" s="11" t="n"/>
      <c r="G7" s="11" t="n"/>
    </row>
    <row r="8" s="132">
      <c r="A8" s="71" t="n"/>
      <c r="B8" s="14" t="inlineStr">
        <is>
          <t>Sığortanın sinifi ____________________________</t>
        </is>
      </c>
      <c r="C8" s="219" t="inlineStr">
        <is>
          <t>(08)Yuk</t>
        </is>
      </c>
      <c r="D8" s="15" t="n"/>
      <c r="E8" s="13" t="n"/>
      <c r="F8" s="13" t="n"/>
      <c r="G8" s="13" t="n"/>
    </row>
    <row r="10" ht="171.6" customHeight="1" s="132">
      <c r="A10" s="71" t="n"/>
      <c r="B10" s="56" t="inlineStr">
        <is>
          <t>Sığorta hadisələrinin baş verməsi və (və ya) sığorta (təkrarsığorta) müqavilələrinə vaxtından əvvəl xitam verilməsi (şərtlərinin dəyişdirilməsi) rübləri</t>
        </is>
      </c>
      <c r="C10" s="56" t="inlineStr">
        <is>
          <t>Sətrin kodu</t>
        </is>
      </c>
      <c r="D10" s="56" t="inlineStr">
        <is>
          <t>Bildirilmiş, lakin tənzimlənməmiş zərərlərin hesabat tarixinə məbləği</t>
        </is>
      </c>
      <c r="E10" s="56" t="inlineStr">
        <is>
          <t xml:space="preserve">Sığorta (təkrarsığorta) müqavilələrinə vaxtından əvvəl xitam verilməsi (şərtlərinin dəyişdirilməsi) ilə əlaqədar sığortalılara (təkrarsığortalılara) qaytarılmalı olan sığorta (təkrarsığorta) haqlarının hesabat tarixinə məbləği </t>
        </is>
      </c>
      <c r="F10" s="56" t="inlineStr">
        <is>
          <t>Zərərlərin tənzimlənməsi xərcləri (süt.3 + +süt.4) x0,03</t>
        </is>
      </c>
      <c r="G10" s="56" t="inlineStr">
        <is>
          <t>Bildirilmiş, lakin tənzimlənməmiş zərərlər ehtiyatı (süt.3+süt.4+süt.5)</t>
        </is>
      </c>
    </row>
    <row r="11" s="132">
      <c r="A11" s="71" t="n"/>
      <c r="B11" s="19" t="n">
        <v>1</v>
      </c>
      <c r="C11" s="19" t="n">
        <v>2</v>
      </c>
      <c r="D11" s="19" t="n">
        <v>3</v>
      </c>
      <c r="E11" s="19" t="n">
        <v>4</v>
      </c>
      <c r="F11" s="19" t="n">
        <v>5</v>
      </c>
      <c r="G11" s="19" t="n">
        <v>6</v>
      </c>
    </row>
    <row r="12">
      <c r="A12" s="57" t="inlineStr">
        <is>
          <t>C1</t>
        </is>
      </c>
      <c r="B12" s="33" t="n"/>
      <c r="C12" s="72" t="inlineStr">
        <is>
          <t>01</t>
        </is>
      </c>
      <c r="D12" s="33" t="n"/>
      <c r="E12" s="33" t="n"/>
      <c r="F12" s="33" t="n"/>
      <c r="G12" s="33" t="n"/>
    </row>
    <row r="13" ht="14.4" customHeight="1" s="132">
      <c r="A13" s="51" t="inlineStr">
        <is>
          <t>A1</t>
        </is>
      </c>
      <c r="B13" s="52" t="inlineStr">
        <is>
          <t>rüb 11</t>
        </is>
      </c>
      <c r="C13" s="53" t="inlineStr">
        <is>
          <t>02</t>
        </is>
      </c>
      <c r="D13" s="220" t="n">
        <v>0</v>
      </c>
      <c r="E13" s="63" t="n">
        <v>0</v>
      </c>
      <c r="F13" s="220" t="n">
        <v>0</v>
      </c>
      <c r="G13" s="220" t="n">
        <v>0</v>
      </c>
    </row>
    <row r="14" ht="14.4" customHeight="1" s="132">
      <c r="A14" s="51" t="inlineStr">
        <is>
          <t>A2</t>
        </is>
      </c>
      <c r="B14" s="52" t="inlineStr">
        <is>
          <t>rüb 10</t>
        </is>
      </c>
      <c r="C14" s="53" t="inlineStr">
        <is>
          <t>03</t>
        </is>
      </c>
      <c r="D14" s="220" t="n">
        <v>0</v>
      </c>
      <c r="E14" s="63" t="n">
        <v>0</v>
      </c>
      <c r="F14" s="220" t="n">
        <v>0</v>
      </c>
      <c r="G14" s="220" t="n">
        <v>0</v>
      </c>
    </row>
    <row r="15" ht="14.4" customHeight="1" s="132">
      <c r="A15" s="51" t="inlineStr">
        <is>
          <t>A3</t>
        </is>
      </c>
      <c r="B15" s="52" t="inlineStr">
        <is>
          <t>rüb 9</t>
        </is>
      </c>
      <c r="C15" s="53" t="inlineStr">
        <is>
          <t>04</t>
        </is>
      </c>
      <c r="D15" s="220" t="n">
        <v>0</v>
      </c>
      <c r="E15" s="63" t="n">
        <v>0</v>
      </c>
      <c r="F15" s="220" t="n">
        <v>0</v>
      </c>
      <c r="G15" s="220" t="n">
        <v>0</v>
      </c>
    </row>
    <row r="16" ht="14.4" customHeight="1" s="132">
      <c r="A16" s="51" t="inlineStr">
        <is>
          <t>A4</t>
        </is>
      </c>
      <c r="B16" s="52" t="inlineStr">
        <is>
          <t>rüb 8</t>
        </is>
      </c>
      <c r="C16" s="53" t="inlineStr">
        <is>
          <t>05</t>
        </is>
      </c>
      <c r="D16" s="220" t="n">
        <v>0</v>
      </c>
      <c r="E16" s="63" t="n">
        <v>0</v>
      </c>
      <c r="F16" s="220" t="n">
        <v>0</v>
      </c>
      <c r="G16" s="220" t="n">
        <v>0</v>
      </c>
    </row>
    <row r="17" ht="14.4" customHeight="1" s="132">
      <c r="A17" s="51" t="inlineStr">
        <is>
          <t>A5</t>
        </is>
      </c>
      <c r="B17" s="52" t="inlineStr">
        <is>
          <t>rüb 7</t>
        </is>
      </c>
      <c r="C17" s="53" t="inlineStr">
        <is>
          <t>06</t>
        </is>
      </c>
      <c r="D17" s="220" t="n">
        <v>0</v>
      </c>
      <c r="E17" s="63" t="n">
        <v>0</v>
      </c>
      <c r="F17" s="220" t="n">
        <v>0</v>
      </c>
      <c r="G17" s="220" t="n">
        <v>0</v>
      </c>
    </row>
    <row r="18" ht="14.4" customHeight="1" s="132">
      <c r="A18" s="51" t="inlineStr">
        <is>
          <t>A6</t>
        </is>
      </c>
      <c r="B18" s="52" t="inlineStr">
        <is>
          <t>rüb 6</t>
        </is>
      </c>
      <c r="C18" s="53" t="inlineStr">
        <is>
          <t>07</t>
        </is>
      </c>
      <c r="D18" s="220" t="n">
        <v>0</v>
      </c>
      <c r="E18" s="63" t="n">
        <v>0</v>
      </c>
      <c r="F18" s="220" t="n">
        <v>0</v>
      </c>
      <c r="G18" s="220" t="n">
        <v>0</v>
      </c>
    </row>
    <row r="19" ht="14.4" customHeight="1" s="132">
      <c r="A19" s="51" t="inlineStr">
        <is>
          <t>A7</t>
        </is>
      </c>
      <c r="B19" s="52" t="inlineStr">
        <is>
          <t>rüb 5</t>
        </is>
      </c>
      <c r="C19" s="53" t="inlineStr">
        <is>
          <t>08</t>
        </is>
      </c>
      <c r="D19" s="220" t="n">
        <v>0</v>
      </c>
      <c r="E19" s="63" t="n">
        <v>0</v>
      </c>
      <c r="F19" s="220" t="n">
        <v>0</v>
      </c>
      <c r="G19" s="220" t="n">
        <v>0</v>
      </c>
    </row>
    <row r="20" ht="14.4" customHeight="1" s="132">
      <c r="A20" s="51" t="inlineStr">
        <is>
          <t>A8</t>
        </is>
      </c>
      <c r="B20" s="52" t="inlineStr">
        <is>
          <t>rüb 4</t>
        </is>
      </c>
      <c r="C20" s="53" t="inlineStr">
        <is>
          <t>09</t>
        </is>
      </c>
      <c r="D20" s="220" t="n">
        <v>0</v>
      </c>
      <c r="E20" s="63" t="n">
        <v>0</v>
      </c>
      <c r="F20" s="220" t="n">
        <v>0</v>
      </c>
      <c r="G20" s="220" t="n">
        <v>0</v>
      </c>
    </row>
    <row r="21" ht="14.4" customHeight="1" s="132">
      <c r="A21" s="51" t="inlineStr">
        <is>
          <t>A9</t>
        </is>
      </c>
      <c r="B21" s="52" t="inlineStr">
        <is>
          <t>rüb 3</t>
        </is>
      </c>
      <c r="C21" s="53" t="inlineStr">
        <is>
          <t>10</t>
        </is>
      </c>
      <c r="D21" s="220" t="n">
        <v>0</v>
      </c>
      <c r="E21" s="63" t="n">
        <v>0</v>
      </c>
      <c r="F21" s="220" t="n">
        <v>0</v>
      </c>
      <c r="G21" s="220" t="n">
        <v>0</v>
      </c>
    </row>
    <row r="22" ht="14.4" customHeight="1" s="132">
      <c r="A22" s="51" t="inlineStr">
        <is>
          <t>A10</t>
        </is>
      </c>
      <c r="B22" s="52" t="inlineStr">
        <is>
          <t>rüb 2</t>
        </is>
      </c>
      <c r="C22" s="53" t="inlineStr">
        <is>
          <t>11</t>
        </is>
      </c>
      <c r="D22" s="220" t="n">
        <v>3000</v>
      </c>
      <c r="E22" s="63" t="n">
        <v>0</v>
      </c>
      <c r="F22" s="220" t="n">
        <v>90</v>
      </c>
      <c r="G22" s="220" t="n">
        <v>3090</v>
      </c>
    </row>
    <row r="23" ht="14.4" customHeight="1" s="132">
      <c r="A23" s="51" t="inlineStr">
        <is>
          <t>A11</t>
        </is>
      </c>
      <c r="B23" s="52" t="inlineStr">
        <is>
          <t>rüb 1</t>
        </is>
      </c>
      <c r="C23" s="53" t="inlineStr">
        <is>
          <t>12</t>
        </is>
      </c>
      <c r="D23" s="220" t="n">
        <v>0</v>
      </c>
      <c r="E23" s="63" t="n">
        <v>0</v>
      </c>
      <c r="F23" s="220" t="n">
        <v>0</v>
      </c>
      <c r="G23" s="220" t="n">
        <v>0</v>
      </c>
    </row>
    <row r="24" ht="31.2" customHeight="1" s="132">
      <c r="A24" s="51" t="inlineStr">
        <is>
          <t>A12</t>
        </is>
      </c>
      <c r="B24" s="54" t="inlineStr">
        <is>
          <t>Hesabat tarixi ilə qurtaran rüb</t>
        </is>
      </c>
      <c r="C24" s="53" t="inlineStr">
        <is>
          <t>13</t>
        </is>
      </c>
      <c r="D24" s="220" t="n">
        <v>0</v>
      </c>
      <c r="E24" s="63" t="n">
        <v>0</v>
      </c>
      <c r="F24" s="220" t="n">
        <v>0</v>
      </c>
      <c r="G24" s="220" t="n">
        <v>0</v>
      </c>
    </row>
    <row r="25" ht="15.6" customHeight="1" s="132">
      <c r="A25" s="73" t="inlineStr">
        <is>
          <t>B1</t>
        </is>
      </c>
      <c r="B25" s="45" t="inlineStr">
        <is>
          <t>Yekun BTZE</t>
        </is>
      </c>
      <c r="C25" s="74" t="inlineStr">
        <is>
          <t>X</t>
        </is>
      </c>
      <c r="D25" s="222" t="n">
        <v>3000</v>
      </c>
      <c r="E25" s="66" t="n">
        <v>0</v>
      </c>
      <c r="F25" s="222" t="n">
        <v>90</v>
      </c>
      <c r="G25" s="222" t="n">
        <v>3090</v>
      </c>
    </row>
    <row r="26">
      <c r="A26" s="71" t="n"/>
      <c r="B26" s="67" t="n"/>
      <c r="C26" s="79" t="n"/>
      <c r="D26" s="69" t="n"/>
      <c r="E26" s="69" t="n"/>
      <c r="F26" s="69" t="n"/>
      <c r="G26" s="70" t="n"/>
    </row>
    <row r="27">
      <c r="A27" s="71" t="n"/>
      <c r="B27" s="178" t="inlineStr">
        <is>
          <t>Qeyd: 1. Bu və digər formalarda "sığorta (təkrarsığorta) müqavilələri" dedikdə, sığorta müqavilələri və təkrarsığortaya qəbul edilmiş risklər üzrə təkrarsığorta müqavilələri başa düşülür. 2. Sığortaçının bu formada əks olunmayan rüblər üçün tənzimlənməmiş zərərləri və (və ya) vaxtından əvvəl xitam verilmiş sığorta (təkrarsığorta) müqavilələri olduqda bu formaya zəruri sayda rüblər əlavə edilir. 3. III və IV sütunların doldurulması üçün "Sığorta (təkrarsığorta) müqavilələrinin uçotu" və "Zərərlərin uçotu" jurnallarından istifadə edilir.</t>
        </is>
      </c>
    </row>
    <row r="28">
      <c r="A28" s="71" t="n"/>
      <c r="B28" s="172" t="inlineStr">
        <is>
          <t>İdarə heyətinin sədri ____________________________       _____________</t>
        </is>
      </c>
      <c r="F28" s="27" t="n"/>
      <c r="G28" s="27" t="n"/>
    </row>
    <row r="29">
      <c r="A29" s="71" t="n"/>
      <c r="B29" s="173" t="inlineStr">
        <is>
          <t xml:space="preserve">                                     (s.a.a)                                     (imza)</t>
        </is>
      </c>
      <c r="F29" s="27" t="n"/>
      <c r="G29" s="27" t="n"/>
    </row>
    <row r="30">
      <c r="A30" s="71" t="n"/>
      <c r="B30" s="24" t="n"/>
      <c r="C30" s="130" t="n"/>
      <c r="D30" s="130" t="n"/>
      <c r="E30" s="130" t="n"/>
      <c r="F30" s="27" t="n"/>
      <c r="G30" s="27" t="n"/>
    </row>
    <row r="31">
      <c r="A31" s="71" t="n"/>
      <c r="B31" s="172" t="inlineStr">
        <is>
          <t>Baş mühasib _______________________       _____________</t>
        </is>
      </c>
      <c r="F31" s="27" t="n"/>
      <c r="G31" s="27" t="n"/>
    </row>
    <row r="32">
      <c r="A32" s="71" t="n"/>
      <c r="B32" s="173" t="inlineStr">
        <is>
          <t xml:space="preserve">                                    (s.a.a)                                      (imza)</t>
        </is>
      </c>
      <c r="F32" s="27" t="n"/>
      <c r="G32" s="27" t="n"/>
    </row>
    <row r="33">
      <c r="A33" s="71" t="n"/>
      <c r="B33" s="27" t="n"/>
      <c r="C33" s="27" t="n"/>
      <c r="D33" s="27" t="n"/>
      <c r="E33" s="27" t="n"/>
      <c r="F33" s="26" t="inlineStr">
        <is>
          <t>M.Y.</t>
        </is>
      </c>
      <c r="G33" s="27" t="n"/>
    </row>
    <row r="34">
      <c r="A34" s="71" t="n"/>
      <c r="B34" s="27" t="n"/>
      <c r="C34" s="27" t="n"/>
      <c r="D34" s="27" t="n"/>
      <c r="E34" s="27" t="n"/>
      <c r="F34" s="27" t="n"/>
      <c r="G34" s="27" t="n"/>
    </row>
    <row r="35">
      <c r="A35" s="71" t="n"/>
      <c r="B35" s="71" t="n"/>
      <c r="C35" s="71" t="n"/>
    </row>
    <row r="36">
      <c r="A36" s="71" t="n"/>
      <c r="B36" s="71" t="n"/>
      <c r="C36" s="71" t="n"/>
    </row>
    <row r="37">
      <c r="A37" s="71" t="n"/>
      <c r="B37" s="71" t="n"/>
      <c r="C37" s="71" t="n"/>
    </row>
    <row r="38">
      <c r="A38" s="71" t="n"/>
      <c r="B38" s="71" t="n"/>
      <c r="C38" s="71" t="n"/>
    </row>
  </sheetData>
  <mergeCells count="9">
    <mergeCell ref="B3:G3"/>
    <mergeCell ref="B31:E31"/>
    <mergeCell ref="B5:G5"/>
    <mergeCell ref="B27:G27"/>
    <mergeCell ref="B29:E29"/>
    <mergeCell ref="B4:G4"/>
    <mergeCell ref="B28:E28"/>
    <mergeCell ref="F1:G1"/>
    <mergeCell ref="B32:E3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34"/>
  <sheetViews>
    <sheetView workbookViewId="0">
      <selection activeCell="A6" sqref="A6:XFD6"/>
    </sheetView>
  </sheetViews>
  <sheetFormatPr baseColWidth="8" defaultColWidth="17.44140625" defaultRowHeight="14.4"/>
  <cols>
    <col width="17.44140625" customWidth="1" style="132" min="1" max="5"/>
    <col width="26.44140625" customWidth="1" style="132" min="6" max="6"/>
    <col width="17.44140625" customWidth="1" style="132" min="7" max="7"/>
    <col width="17.44140625" customWidth="1" style="132" min="8" max="16384"/>
  </cols>
  <sheetData>
    <row r="1" ht="18" customHeight="1" s="132">
      <c r="A1" s="57" t="n"/>
      <c r="B1" s="27" t="n"/>
      <c r="C1" s="27" t="n"/>
      <c r="D1" s="27" t="n"/>
      <c r="E1" s="55" t="n"/>
      <c r="F1" s="174" t="inlineStr">
        <is>
          <t>«Həyat sığortası və qeyri-həyat sığortası
üzrə sığorta ehtiyatlarının formalaşdırılması
Qaydaları»na Əlavə № 3</t>
        </is>
      </c>
    </row>
    <row r="2" ht="34.8" customHeight="1" s="132">
      <c r="A2" s="57" t="n"/>
      <c r="B2" s="189" t="inlineStr">
        <is>
          <t>Forma № 8-11</t>
        </is>
      </c>
      <c r="C2" s="27" t="n"/>
      <c r="D2" s="27" t="n"/>
      <c r="E2" s="200" t="n"/>
      <c r="F2" s="200" t="n"/>
      <c r="G2" s="27" t="n"/>
    </row>
    <row r="3" ht="17.4" customHeight="1" s="132">
      <c r="A3" s="57" t="n"/>
      <c r="B3" s="189" t="inlineStr">
        <is>
          <t xml:space="preserve">Bildirilmiş, lakin tənzimlənməmiş zərərlər ehtiyatında təkrarsığortaçıların payı </t>
        </is>
      </c>
    </row>
    <row r="4" ht="17.4" customHeight="1" s="132">
      <c r="A4" s="57" t="n"/>
      <c r="B4" s="192" t="inlineStr">
        <is>
          <t xml:space="preserve"> __________________________________________</t>
        </is>
      </c>
    </row>
    <row r="5" ht="15.6" customHeight="1" s="132">
      <c r="A5" s="57" t="n"/>
      <c r="B5" s="177" t="inlineStr">
        <is>
          <t xml:space="preserve">    (sığortaçının (təkrarsığortaçının)  adı)</t>
        </is>
      </c>
    </row>
    <row r="6" ht="17.4" customHeight="1" s="132">
      <c r="A6" s="57" t="n"/>
      <c r="B6" s="75" t="n"/>
      <c r="C6" s="75" t="n"/>
      <c r="D6" s="12" t="inlineStr">
        <is>
          <t>01.01.2026</t>
        </is>
      </c>
      <c r="E6" s="11" t="inlineStr">
        <is>
          <t xml:space="preserve"> -cı il  tarixə</t>
        </is>
      </c>
      <c r="G6" s="75" t="n"/>
    </row>
    <row r="7" ht="17.4" customHeight="1" s="132">
      <c r="A7" s="57" t="n"/>
      <c r="B7" s="75" t="n"/>
      <c r="C7" s="75" t="n"/>
      <c r="D7" s="75" t="n"/>
      <c r="E7" s="12" t="n"/>
      <c r="F7" s="75" t="n"/>
      <c r="G7" s="75" t="n"/>
    </row>
    <row r="8" ht="18" customHeight="1" s="132">
      <c r="A8" s="57" t="n"/>
      <c r="B8" s="14" t="inlineStr">
        <is>
          <t>Sığortanın sinifi ____________________________</t>
        </is>
      </c>
      <c r="C8" s="219" t="inlineStr">
        <is>
          <t>(08)Yuk</t>
        </is>
      </c>
      <c r="D8" s="15" t="n"/>
      <c r="E8" s="76" t="n"/>
      <c r="F8" s="76" t="n"/>
      <c r="G8" s="76" t="n"/>
    </row>
    <row r="10" ht="156" customHeight="1" s="132">
      <c r="A10" s="57" t="n"/>
      <c r="B10" s="56" t="inlineStr">
        <is>
          <t>Sığorta hadisələrinin baş verməsi və (və ya) təkrarsığorta müqavilələrinə vaxtından əvvəl xitam verilməsi (şərtlərinin dəyişdirilməsi) rübləri</t>
        </is>
      </c>
      <c r="C10" s="56" t="inlineStr">
        <is>
          <t>Sətrin kodu</t>
        </is>
      </c>
      <c r="D10" s="56" t="inlineStr">
        <is>
          <t>Bildirilmiş, lakin tənzimlənməmiş zərərlərin hesabat tarixinə məbləği</t>
        </is>
      </c>
      <c r="E10" s="56" t="inlineStr">
        <is>
          <t>Bildirilmiş, lakin tənzimlənməmiş zərərlərdə təkrarsığortalının payı</t>
        </is>
      </c>
      <c r="F10" s="56" t="inlineStr">
        <is>
          <t xml:space="preserve">Təkrarsığorta müqavilələrinə vaxtından əvvəl xitam verilməsi (şərtlərinin dəyişdirilməsi) ilə əlaqədar təkrarsığortalılara qaytarılmalı olan təkrarsığorta haqlarının hesabat tarixinə məbləği </t>
        </is>
      </c>
      <c r="G10" s="56" t="inlineStr">
        <is>
          <t>Bildirilmiş, lakin tənzimlənməmiş zərərlər ehtiyatında təkrarsığortaçıların payı
(süt.3-süt.4+süt.5)</t>
        </is>
      </c>
    </row>
    <row r="11" ht="17.4" customHeight="1" s="132">
      <c r="A11" s="57" t="n"/>
      <c r="B11" s="33" t="n">
        <v>1</v>
      </c>
      <c r="C11" s="33" t="n">
        <v>2</v>
      </c>
      <c r="D11" s="33" t="n">
        <v>3</v>
      </c>
      <c r="E11" s="33" t="n">
        <v>4</v>
      </c>
      <c r="F11" s="33" t="n">
        <v>5</v>
      </c>
      <c r="G11" s="33" t="n">
        <v>6</v>
      </c>
    </row>
    <row r="12" ht="18" customHeight="1" s="132">
      <c r="A12" s="77" t="inlineStr">
        <is>
          <t>C1</t>
        </is>
      </c>
      <c r="B12" s="33" t="n"/>
      <c r="C12" s="72" t="inlineStr">
        <is>
          <t>01</t>
        </is>
      </c>
      <c r="D12" s="33" t="n"/>
      <c r="E12" s="33" t="n"/>
      <c r="F12" s="33" t="n"/>
      <c r="G12" s="33" t="n"/>
    </row>
    <row r="13">
      <c r="A13" s="51" t="inlineStr">
        <is>
          <t>A1</t>
        </is>
      </c>
      <c r="B13" s="52" t="inlineStr">
        <is>
          <t>rüb 11</t>
        </is>
      </c>
      <c r="C13" s="53" t="inlineStr">
        <is>
          <t>01</t>
        </is>
      </c>
      <c r="D13" s="220" t="n">
        <v>0</v>
      </c>
      <c r="E13" s="220" t="n">
        <v>0</v>
      </c>
      <c r="F13" s="63" t="n">
        <v>0</v>
      </c>
      <c r="G13" s="220" t="n">
        <v>0</v>
      </c>
    </row>
    <row r="14">
      <c r="A14" s="51" t="inlineStr">
        <is>
          <t>A2</t>
        </is>
      </c>
      <c r="B14" s="52" t="inlineStr">
        <is>
          <t>rüb 10</t>
        </is>
      </c>
      <c r="C14" s="53" t="inlineStr">
        <is>
          <t>02</t>
        </is>
      </c>
      <c r="D14" s="220" t="n">
        <v>0</v>
      </c>
      <c r="E14" s="220" t="n">
        <v>0</v>
      </c>
      <c r="F14" s="63" t="n">
        <v>0</v>
      </c>
      <c r="G14" s="220" t="n">
        <v>0</v>
      </c>
    </row>
    <row r="15">
      <c r="A15" s="51" t="inlineStr">
        <is>
          <t>A3</t>
        </is>
      </c>
      <c r="B15" s="52" t="inlineStr">
        <is>
          <t>rüb 9</t>
        </is>
      </c>
      <c r="C15" s="53" t="inlineStr">
        <is>
          <t>03</t>
        </is>
      </c>
      <c r="D15" s="220" t="n">
        <v>0</v>
      </c>
      <c r="E15" s="220" t="n">
        <v>0</v>
      </c>
      <c r="F15" s="63" t="n">
        <v>0</v>
      </c>
      <c r="G15" s="220" t="n">
        <v>0</v>
      </c>
    </row>
    <row r="16">
      <c r="A16" s="51" t="inlineStr">
        <is>
          <t>A4</t>
        </is>
      </c>
      <c r="B16" s="52" t="inlineStr">
        <is>
          <t>rüb 8</t>
        </is>
      </c>
      <c r="C16" s="53" t="inlineStr">
        <is>
          <t>04</t>
        </is>
      </c>
      <c r="D16" s="220" t="n">
        <v>0</v>
      </c>
      <c r="E16" s="220" t="n">
        <v>0</v>
      </c>
      <c r="F16" s="63" t="n">
        <v>0</v>
      </c>
      <c r="G16" s="220" t="n">
        <v>0</v>
      </c>
    </row>
    <row r="17">
      <c r="A17" s="51" t="inlineStr">
        <is>
          <t>A5</t>
        </is>
      </c>
      <c r="B17" s="52" t="inlineStr">
        <is>
          <t>rüb 7</t>
        </is>
      </c>
      <c r="C17" s="53" t="inlineStr">
        <is>
          <t>05</t>
        </is>
      </c>
      <c r="D17" s="220" t="n">
        <v>0</v>
      </c>
      <c r="E17" s="220" t="n">
        <v>0</v>
      </c>
      <c r="F17" s="63" t="n">
        <v>0</v>
      </c>
      <c r="G17" s="220" t="n">
        <v>0</v>
      </c>
    </row>
    <row r="18">
      <c r="A18" s="51" t="inlineStr">
        <is>
          <t>A6</t>
        </is>
      </c>
      <c r="B18" s="52" t="inlineStr">
        <is>
          <t>rüb 6</t>
        </is>
      </c>
      <c r="C18" s="53" t="inlineStr">
        <is>
          <t>06</t>
        </is>
      </c>
      <c r="D18" s="220" t="n">
        <v>0</v>
      </c>
      <c r="E18" s="220" t="n">
        <v>0</v>
      </c>
      <c r="F18" s="63" t="n">
        <v>0</v>
      </c>
      <c r="G18" s="220" t="n">
        <v>0</v>
      </c>
    </row>
    <row r="19">
      <c r="A19" s="51" t="inlineStr">
        <is>
          <t>A7</t>
        </is>
      </c>
      <c r="B19" s="52" t="inlineStr">
        <is>
          <t>rüb 5</t>
        </is>
      </c>
      <c r="C19" s="53" t="inlineStr">
        <is>
          <t>07</t>
        </is>
      </c>
      <c r="D19" s="220" t="n">
        <v>0</v>
      </c>
      <c r="E19" s="220" t="n">
        <v>0</v>
      </c>
      <c r="F19" s="63" t="n">
        <v>0</v>
      </c>
      <c r="G19" s="220" t="n">
        <v>0</v>
      </c>
    </row>
    <row r="20">
      <c r="A20" s="51" t="inlineStr">
        <is>
          <t>A8</t>
        </is>
      </c>
      <c r="B20" s="52" t="inlineStr">
        <is>
          <t>rüb 4</t>
        </is>
      </c>
      <c r="C20" s="53" t="inlineStr">
        <is>
          <t>08</t>
        </is>
      </c>
      <c r="D20" s="220" t="n">
        <v>0</v>
      </c>
      <c r="E20" s="220" t="n">
        <v>0</v>
      </c>
      <c r="F20" s="63" t="n">
        <v>0</v>
      </c>
      <c r="G20" s="220" t="n">
        <v>0</v>
      </c>
    </row>
    <row r="21">
      <c r="A21" s="51" t="inlineStr">
        <is>
          <t>A9</t>
        </is>
      </c>
      <c r="B21" s="52" t="inlineStr">
        <is>
          <t>rüb 3</t>
        </is>
      </c>
      <c r="C21" s="53" t="inlineStr">
        <is>
          <t>09</t>
        </is>
      </c>
      <c r="D21" s="220" t="n">
        <v>0</v>
      </c>
      <c r="E21" s="220" t="n">
        <v>0</v>
      </c>
      <c r="F21" s="63" t="n">
        <v>0</v>
      </c>
      <c r="G21" s="220" t="n">
        <v>0</v>
      </c>
    </row>
    <row r="22">
      <c r="A22" s="51" t="inlineStr">
        <is>
          <t>A10</t>
        </is>
      </c>
      <c r="B22" s="52" t="inlineStr">
        <is>
          <t>rüb 2</t>
        </is>
      </c>
      <c r="C22" s="53" t="inlineStr">
        <is>
          <t>10</t>
        </is>
      </c>
      <c r="D22" s="220" t="n">
        <v>3000</v>
      </c>
      <c r="E22" s="220" t="n">
        <v>3000</v>
      </c>
      <c r="F22" s="63" t="n">
        <v>0</v>
      </c>
      <c r="G22" s="220" t="n">
        <v>0</v>
      </c>
    </row>
    <row r="23">
      <c r="A23" s="51" t="inlineStr">
        <is>
          <t>A11</t>
        </is>
      </c>
      <c r="B23" s="52" t="inlineStr">
        <is>
          <t>rüb 1</t>
        </is>
      </c>
      <c r="C23" s="53" t="inlineStr">
        <is>
          <t>11</t>
        </is>
      </c>
      <c r="D23" s="220" t="n">
        <v>0</v>
      </c>
      <c r="E23" s="220" t="n">
        <v>0</v>
      </c>
      <c r="F23" s="63" t="n">
        <v>0</v>
      </c>
      <c r="G23" s="220" t="n">
        <v>0</v>
      </c>
    </row>
    <row r="24" ht="31.2" customHeight="1" s="132">
      <c r="A24" s="51" t="inlineStr">
        <is>
          <t>A12</t>
        </is>
      </c>
      <c r="B24" s="54" t="inlineStr">
        <is>
          <t>Hesabat tarixi ilə qurtaran rüb</t>
        </is>
      </c>
      <c r="C24" s="53" t="inlineStr">
        <is>
          <t>12</t>
        </is>
      </c>
      <c r="D24" s="220" t="n">
        <v>0</v>
      </c>
      <c r="E24" s="220" t="n">
        <v>0</v>
      </c>
      <c r="F24" s="63" t="n">
        <v>0</v>
      </c>
      <c r="G24" s="220" t="n">
        <v>0</v>
      </c>
    </row>
    <row r="25" ht="15.6" customHeight="1" s="132">
      <c r="A25" s="73" t="inlineStr">
        <is>
          <t>B1</t>
        </is>
      </c>
      <c r="B25" s="45" t="inlineStr">
        <is>
          <t>Yekun BTZE</t>
        </is>
      </c>
      <c r="C25" s="74" t="inlineStr">
        <is>
          <t>X</t>
        </is>
      </c>
      <c r="D25" s="222" t="n">
        <v>3000</v>
      </c>
      <c r="E25" s="222" t="n">
        <v>3000</v>
      </c>
      <c r="F25" s="66" t="n">
        <v>0</v>
      </c>
      <c r="G25" s="222" t="n">
        <v>0</v>
      </c>
    </row>
    <row r="26" ht="18" customHeight="1" s="132">
      <c r="A26" s="57" t="n"/>
      <c r="B26" s="78" t="n"/>
      <c r="C26" s="79" t="n"/>
      <c r="D26" s="80" t="n"/>
      <c r="E26" s="80" t="n"/>
      <c r="F26" s="80" t="n"/>
      <c r="G26" s="81" t="n"/>
    </row>
    <row r="27" ht="61.8" customHeight="1" s="132">
      <c r="A27" s="57" t="n"/>
      <c r="B27" s="178" t="inlineStr">
        <is>
          <t>Qeyd: 1. Bu formada "təkrarsığorta müqavilələri" dedikdə, təkrarsığortaya qəbul edilmiş risklər üzrə təkrarsığorta müqavilələri başa düşülür. 2. Təkrarsığortalının bu formada əks olunmayan rüblər üçün tənzimlənməmiş zərərləri və (və ya) vaxtından əvvəl xitam verilmiş təkrarsığorta müqavilələri olduqda bu formaya zəruri sayda rüblər əlavə edilir. 3. III, IV və V sütunların doldurulması üçün "Sığorta (təkrarsığorta) müqavilələrinin uçotu" və "Zərərlərin uçotu" jurnallarından istifadə edilir.</t>
        </is>
      </c>
    </row>
    <row r="28" ht="18" customHeight="1" s="132">
      <c r="A28" s="57" t="n"/>
      <c r="B28" s="191" t="inlineStr">
        <is>
          <t>İdarə heyətinin sədri ____________________________       _____________</t>
        </is>
      </c>
      <c r="F28" s="27" t="n"/>
      <c r="G28" s="27" t="n"/>
    </row>
    <row r="29" ht="18" customHeight="1" s="132">
      <c r="A29" s="57" t="n"/>
      <c r="B29" s="173" t="inlineStr">
        <is>
          <t xml:space="preserve">                                                                    (s.a.a)                                                   (imza)</t>
        </is>
      </c>
      <c r="F29" s="27" t="n"/>
      <c r="G29" s="27" t="n"/>
    </row>
    <row r="30" ht="18" customHeight="1" s="132">
      <c r="A30" s="57" t="n"/>
      <c r="B30" s="24" t="n"/>
      <c r="C30" s="130" t="n"/>
      <c r="D30" s="130" t="n"/>
      <c r="E30" s="130" t="n"/>
      <c r="F30" s="27" t="n"/>
      <c r="G30" s="27" t="n"/>
    </row>
    <row r="31" ht="18" customHeight="1" s="132">
      <c r="A31" s="57" t="n"/>
      <c r="B31" s="191" t="inlineStr">
        <is>
          <t>Baş mühasib _______________________           _____________</t>
        </is>
      </c>
      <c r="F31" s="27" t="n"/>
      <c r="G31" s="27" t="n"/>
    </row>
    <row r="32" ht="18" customHeight="1" s="132">
      <c r="A32" s="57" t="n"/>
      <c r="B32" s="173" t="inlineStr">
        <is>
          <t xml:space="preserve">                                    (s.a.a)                                      (imza)</t>
        </is>
      </c>
      <c r="F32" s="27" t="n"/>
      <c r="G32" s="27" t="n"/>
    </row>
    <row r="33" ht="18" customHeight="1" s="132">
      <c r="A33" s="57" t="n"/>
      <c r="B33" s="27" t="n"/>
      <c r="C33" s="27" t="n"/>
      <c r="D33" s="27" t="n"/>
      <c r="E33" s="27" t="n"/>
      <c r="F33" s="26" t="inlineStr">
        <is>
          <t>M.Y.</t>
        </is>
      </c>
      <c r="G33" s="27" t="n"/>
    </row>
    <row r="34" ht="18" customHeight="1" s="132">
      <c r="B34" s="27" t="n"/>
      <c r="C34" s="27" t="n"/>
      <c r="D34" s="27" t="n"/>
      <c r="E34" s="27" t="n"/>
      <c r="F34" s="27" t="n"/>
      <c r="G34" s="27" t="n"/>
    </row>
  </sheetData>
  <mergeCells count="9">
    <mergeCell ref="B3:G3"/>
    <mergeCell ref="B31:E31"/>
    <mergeCell ref="B5:G5"/>
    <mergeCell ref="B27:G27"/>
    <mergeCell ref="B29:E29"/>
    <mergeCell ref="B4:G4"/>
    <mergeCell ref="B28:E28"/>
    <mergeCell ref="F1:G1"/>
    <mergeCell ref="B32:E3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32"/>
  <sheetViews>
    <sheetView zoomScale="87" workbookViewId="0">
      <selection activeCell="E7" sqref="E7"/>
    </sheetView>
  </sheetViews>
  <sheetFormatPr baseColWidth="8" defaultRowHeight="14.4"/>
  <cols>
    <col width="8.88671875" customWidth="1" style="132" min="1" max="1"/>
    <col width="18.21875" customWidth="1" style="132" min="2" max="2"/>
    <col width="17.77734375" customWidth="1" style="132" min="3" max="3"/>
    <col width="20.5546875" customWidth="1" style="132" min="4" max="11"/>
    <col width="8.88671875" customWidth="1" style="132" min="12" max="16384"/>
  </cols>
  <sheetData>
    <row r="1" ht="18" customHeight="1" s="132">
      <c r="B1" s="27" t="n"/>
      <c r="C1" s="27" t="n"/>
      <c r="D1" s="27" t="n"/>
      <c r="E1" s="27" t="n"/>
      <c r="F1" s="174" t="inlineStr">
        <is>
          <t>«Həyat sığortası və qeyri-həyat sığortası
üzrə sığorta ehtiyatlarının formalaşdırılması
Qaydaları»na Əlavə № 3</t>
        </is>
      </c>
      <c r="H1" s="174" t="n"/>
      <c r="I1" s="174" t="n"/>
      <c r="J1" s="174" t="n"/>
      <c r="K1" s="174" t="n"/>
    </row>
    <row r="2" ht="18" customHeight="1" s="132">
      <c r="B2" s="189" t="inlineStr">
        <is>
          <t>Forma № 8-7</t>
        </is>
      </c>
      <c r="C2" s="27" t="n"/>
      <c r="D2" s="27" t="n"/>
      <c r="E2" s="200" t="n"/>
      <c r="F2" s="200" t="n"/>
      <c r="G2" s="130" t="n"/>
      <c r="H2" s="130" t="n"/>
      <c r="I2" s="130" t="n"/>
      <c r="J2" s="130" t="n"/>
      <c r="K2" s="130" t="n"/>
    </row>
    <row r="3" ht="17.4" customHeight="1" s="132">
      <c r="B3" s="189" t="inlineStr">
        <is>
          <t xml:space="preserve">Qazanılmış məcmu sığorta haqları </t>
        </is>
      </c>
      <c r="H3" s="189" t="n"/>
      <c r="I3" s="189" t="n"/>
      <c r="J3" s="189" t="n"/>
      <c r="K3" s="189" t="n"/>
    </row>
    <row r="4" ht="17.4" customHeight="1" s="132">
      <c r="B4" s="176" t="n">
        <v>0</v>
      </c>
      <c r="H4" s="176" t="n"/>
      <c r="I4" s="176" t="n"/>
      <c r="J4" s="176" t="n"/>
      <c r="K4" s="176" t="n"/>
    </row>
    <row r="5" ht="15.6" customHeight="1" s="132">
      <c r="B5" s="177" t="inlineStr">
        <is>
          <t xml:space="preserve">    (sığortaçının (təkrarsığortaçının)  adı)</t>
        </is>
      </c>
      <c r="H5" s="177" t="n"/>
      <c r="I5" s="177" t="n"/>
      <c r="J5" s="177" t="n"/>
      <c r="K5" s="177" t="n"/>
    </row>
    <row r="6" ht="17.4" customHeight="1" s="132">
      <c r="B6" s="11" t="n"/>
      <c r="C6" s="11" t="n"/>
      <c r="D6" s="12" t="inlineStr">
        <is>
          <t>01.01.2026</t>
        </is>
      </c>
      <c r="E6" s="11" t="inlineStr">
        <is>
          <t xml:space="preserve"> -cı il  tarixə</t>
        </is>
      </c>
      <c r="F6" s="11" t="n"/>
      <c r="G6" s="11" t="n"/>
      <c r="H6" s="11" t="n"/>
      <c r="I6" s="11" t="n"/>
      <c r="J6" s="11" t="n"/>
      <c r="K6" s="11" t="n"/>
    </row>
    <row r="7" ht="17.4" customHeight="1" s="132">
      <c r="B7" s="13" t="n"/>
      <c r="C7" s="13" t="n"/>
      <c r="D7" s="13" t="n"/>
      <c r="E7" s="13" t="n"/>
      <c r="F7" s="13" t="n"/>
      <c r="G7" s="13" t="n"/>
      <c r="H7" s="13" t="n"/>
      <c r="I7" s="13" t="n"/>
      <c r="J7" s="13" t="n"/>
      <c r="K7" s="13" t="n"/>
    </row>
    <row r="8" ht="18" customHeight="1" s="132">
      <c r="B8" s="14" t="inlineStr">
        <is>
          <t>Sığortanın sinifi ____________________________</t>
        </is>
      </c>
      <c r="C8" s="219" t="inlineStr">
        <is>
          <t>(08)Yuk</t>
        </is>
      </c>
      <c r="D8" s="15" t="n"/>
      <c r="E8" s="13" t="n"/>
      <c r="F8" s="13" t="n"/>
      <c r="G8" s="13" t="n"/>
      <c r="H8" s="13" t="n"/>
      <c r="I8" s="13" t="n"/>
      <c r="J8" s="13" t="n"/>
      <c r="K8" s="13" t="n"/>
    </row>
    <row r="9" ht="18" customHeight="1" s="132">
      <c r="B9" s="14" t="n"/>
      <c r="C9" s="14" t="n"/>
      <c r="D9" s="15" t="n"/>
      <c r="E9" s="13" t="n"/>
      <c r="F9" s="13" t="n"/>
      <c r="G9" s="13" t="n"/>
      <c r="H9" s="13" t="n"/>
      <c r="I9" s="13" t="n"/>
      <c r="J9" s="13" t="n"/>
      <c r="K9" s="13" t="n"/>
    </row>
    <row r="10" ht="18" customHeight="1" s="132">
      <c r="B10" s="71" t="n"/>
      <c r="C10" s="71" t="n"/>
      <c r="D10" s="71" t="n"/>
      <c r="E10" s="71" t="n"/>
      <c r="F10" s="71" t="n"/>
      <c r="G10" s="71" t="n"/>
      <c r="H10" s="71" t="n"/>
      <c r="I10" s="71" t="n"/>
      <c r="J10" s="71" t="n"/>
      <c r="K10" s="71" t="n"/>
    </row>
    <row r="11" ht="156.6" customHeight="1" s="132">
      <c r="B11" s="18" t="inlineStr">
        <is>
          <t>Zərərlərin baş verməsi rübləri</t>
        </is>
      </c>
      <c r="C11" s="18" t="inlineStr">
        <is>
          <t>Sətrin kodu</t>
        </is>
      </c>
      <c r="D11" s="18" t="inlineStr">
        <is>
          <t>Rüb ərzində hesablanmış məcmu baza sığorta haqları</t>
        </is>
      </c>
      <c r="E11" s="18" t="inlineStr">
        <is>
          <t>Rübün əvvəlinə qazanılmamış sığorta haqları ehtiyatının baza hissəsi</t>
        </is>
      </c>
      <c r="F11" s="18" t="inlineStr">
        <is>
          <t xml:space="preserve">Rübün sonuna qazanılmamış sığorta haqları ehtiyatının baza hissəsi </t>
        </is>
      </c>
      <c r="G11" s="18" t="inlineStr">
        <is>
          <t>Rüb ərzində qazanılmış məcmu sığorta haqları (süt.III+süt.IV-süt.V)</t>
        </is>
      </c>
      <c r="H11" s="18" t="inlineStr">
        <is>
          <t>Rüb ərzində hesablanmış məcmu baza sığorta (təkrarsığorta) haqlarının katastrofik risk təminatına düşən hissəsi</t>
        </is>
      </c>
      <c r="I11" s="18" t="inlineStr">
        <is>
          <t>Rübün əvvəlinə qazanılmamış sığorta (təkrarsığorta) haqqının katastrofik risk təminatına düşən hissəsi</t>
        </is>
      </c>
      <c r="J11" s="18" t="inlineStr">
        <is>
          <t>Rübün sonuna qazanılmamış sığorta (təkrarsığorta) haqqının katastrofik risk təminatına düşən hissəsi</t>
        </is>
      </c>
      <c r="K11" s="18" t="inlineStr">
        <is>
          <t>Qazanılmış sığorta (təkrarsığorta) haqqının katastrofik risk təminatına düşən hissəsi (VII+ VIII-IX)</t>
        </is>
      </c>
    </row>
    <row r="12" ht="17.4" customHeight="1" s="132">
      <c r="B12" s="33" t="inlineStr">
        <is>
          <t>I</t>
        </is>
      </c>
      <c r="C12" s="33" t="inlineStr">
        <is>
          <t>II</t>
        </is>
      </c>
      <c r="D12" s="33" t="inlineStr">
        <is>
          <t>III</t>
        </is>
      </c>
      <c r="E12" s="33" t="inlineStr">
        <is>
          <t>IV</t>
        </is>
      </c>
      <c r="F12" s="33" t="inlineStr">
        <is>
          <t>V</t>
        </is>
      </c>
      <c r="G12" s="33" t="inlineStr">
        <is>
          <t>VI</t>
        </is>
      </c>
      <c r="H12" s="33" t="inlineStr">
        <is>
          <t>VII</t>
        </is>
      </c>
      <c r="I12" s="33" t="inlineStr">
        <is>
          <t>VIII</t>
        </is>
      </c>
      <c r="J12" s="33" t="inlineStr">
        <is>
          <t>IX</t>
        </is>
      </c>
      <c r="K12" s="33" t="inlineStr">
        <is>
          <t>X</t>
        </is>
      </c>
    </row>
    <row r="13" ht="18" customHeight="1" s="132">
      <c r="A13" s="51" t="inlineStr">
        <is>
          <t>A1</t>
        </is>
      </c>
      <c r="B13" s="52" t="inlineStr">
        <is>
          <t>rüb 11</t>
        </is>
      </c>
      <c r="C13" s="53" t="inlineStr">
        <is>
          <t>01</t>
        </is>
      </c>
      <c r="D13" s="239" t="n">
        <v>75397.53999999999</v>
      </c>
      <c r="E13" s="239" t="n">
        <v>14586.8</v>
      </c>
      <c r="F13" s="239" t="n">
        <v>16011.04</v>
      </c>
      <c r="G13" s="239" t="n">
        <v>73973.3</v>
      </c>
      <c r="H13" s="239" t="n">
        <v>1507.95</v>
      </c>
      <c r="I13" s="239" t="n">
        <v>291.74</v>
      </c>
      <c r="J13" s="239" t="n">
        <v>320.22</v>
      </c>
      <c r="K13" s="239" t="n">
        <v>1479.47</v>
      </c>
    </row>
    <row r="14" ht="18" customHeight="1" s="132">
      <c r="A14" s="51" t="inlineStr">
        <is>
          <t>A2</t>
        </is>
      </c>
      <c r="B14" s="52" t="inlineStr">
        <is>
          <t>rüb 10</t>
        </is>
      </c>
      <c r="C14" s="53" t="inlineStr">
        <is>
          <t>02</t>
        </is>
      </c>
      <c r="D14" s="239" t="n">
        <v>56554.7</v>
      </c>
      <c r="E14" s="239" t="n">
        <v>16011.04</v>
      </c>
      <c r="F14" s="239" t="n">
        <v>10912.31</v>
      </c>
      <c r="G14" s="239" t="n">
        <v>61653.43</v>
      </c>
      <c r="H14" s="239" t="n">
        <v>1131.09</v>
      </c>
      <c r="I14" s="239" t="n">
        <v>320.22</v>
      </c>
      <c r="J14" s="239" t="n">
        <v>218.25</v>
      </c>
      <c r="K14" s="239" t="n">
        <v>1233.06</v>
      </c>
    </row>
    <row r="15" ht="18" customHeight="1" s="132">
      <c r="A15" s="51" t="inlineStr">
        <is>
          <t>A3</t>
        </is>
      </c>
      <c r="B15" s="52" t="inlineStr">
        <is>
          <t>rüb 9</t>
        </is>
      </c>
      <c r="C15" s="53" t="inlineStr">
        <is>
          <t>03</t>
        </is>
      </c>
      <c r="D15" s="239" t="n">
        <v>90437.09</v>
      </c>
      <c r="E15" s="239" t="n">
        <v>10912.31</v>
      </c>
      <c r="F15" s="239" t="n">
        <v>38222.27</v>
      </c>
      <c r="G15" s="239" t="n">
        <v>63127.13</v>
      </c>
      <c r="H15" s="239" t="n">
        <v>1808.74</v>
      </c>
      <c r="I15" s="239" t="n">
        <v>218.25</v>
      </c>
      <c r="J15" s="239" t="n">
        <v>764.45</v>
      </c>
      <c r="K15" s="239" t="n">
        <v>1262.54</v>
      </c>
    </row>
    <row r="16" ht="18" customHeight="1" s="132">
      <c r="A16" s="51" t="inlineStr">
        <is>
          <t>A4</t>
        </is>
      </c>
      <c r="B16" s="52" t="inlineStr">
        <is>
          <t>rüb 8</t>
        </is>
      </c>
      <c r="C16" s="53" t="inlineStr">
        <is>
          <t>04</t>
        </is>
      </c>
      <c r="D16" s="239" t="n">
        <v>80719.52</v>
      </c>
      <c r="E16" s="239" t="n">
        <v>38222.27</v>
      </c>
      <c r="F16" s="239" t="n">
        <v>26782.5</v>
      </c>
      <c r="G16" s="239" t="n">
        <v>92159.28999999999</v>
      </c>
      <c r="H16" s="239" t="n">
        <v>1614.39</v>
      </c>
      <c r="I16" s="239" t="n">
        <v>764.45</v>
      </c>
      <c r="J16" s="239" t="n">
        <v>535.65</v>
      </c>
      <c r="K16" s="239" t="n">
        <v>1843.19</v>
      </c>
    </row>
    <row r="17" ht="18" customHeight="1" s="132">
      <c r="A17" s="51" t="inlineStr">
        <is>
          <t>A5</t>
        </is>
      </c>
      <c r="B17" s="52" t="inlineStr">
        <is>
          <t>rüb 7</t>
        </is>
      </c>
      <c r="C17" s="53" t="inlineStr">
        <is>
          <t>05</t>
        </is>
      </c>
      <c r="D17" s="239" t="n">
        <v>35314.33</v>
      </c>
      <c r="E17" s="239" t="n">
        <v>26782.5</v>
      </c>
      <c r="F17" s="239" t="n">
        <v>18215.05</v>
      </c>
      <c r="G17" s="239" t="n">
        <v>43881.78</v>
      </c>
      <c r="H17" s="239" t="n">
        <v>706.29</v>
      </c>
      <c r="I17" s="239" t="n">
        <v>535.65</v>
      </c>
      <c r="J17" s="239" t="n">
        <v>364.3</v>
      </c>
      <c r="K17" s="239" t="n">
        <v>877.64</v>
      </c>
    </row>
    <row r="18" ht="18" customHeight="1" s="132">
      <c r="A18" s="51" t="inlineStr">
        <is>
          <t>A6</t>
        </is>
      </c>
      <c r="B18" s="52" t="inlineStr">
        <is>
          <t>rüb 6</t>
        </is>
      </c>
      <c r="C18" s="53" t="inlineStr">
        <is>
          <t>06</t>
        </is>
      </c>
      <c r="D18" s="239" t="n">
        <v>98589.8</v>
      </c>
      <c r="E18" s="239" t="n">
        <v>18215.05</v>
      </c>
      <c r="F18" s="239" t="n">
        <v>31803.35</v>
      </c>
      <c r="G18" s="239" t="n">
        <v>85001.5</v>
      </c>
      <c r="H18" s="239" t="n">
        <v>1991.31</v>
      </c>
      <c r="I18" s="239" t="n">
        <v>364.3</v>
      </c>
      <c r="J18" s="239" t="n">
        <v>638.28</v>
      </c>
      <c r="K18" s="239" t="n">
        <v>1717.33</v>
      </c>
    </row>
    <row r="19" ht="18" customHeight="1" s="132">
      <c r="A19" s="51" t="inlineStr">
        <is>
          <t>A7</t>
        </is>
      </c>
      <c r="B19" s="52" t="inlineStr">
        <is>
          <t>rüb 5</t>
        </is>
      </c>
      <c r="C19" s="53" t="inlineStr">
        <is>
          <t>07</t>
        </is>
      </c>
      <c r="D19" s="239" t="n">
        <v>111817.17</v>
      </c>
      <c r="E19" s="239" t="n">
        <v>31803.35</v>
      </c>
      <c r="F19" s="239" t="n">
        <v>37990.41</v>
      </c>
      <c r="G19" s="239" t="n">
        <v>105630.11</v>
      </c>
      <c r="H19" s="239" t="n">
        <v>2236.96</v>
      </c>
      <c r="I19" s="239" t="n">
        <v>638.28</v>
      </c>
      <c r="J19" s="239" t="n">
        <v>760.04</v>
      </c>
      <c r="K19" s="239" t="n">
        <v>2115.2</v>
      </c>
    </row>
    <row r="20" ht="18" customHeight="1" s="132">
      <c r="A20" s="51" t="inlineStr">
        <is>
          <t>A8</t>
        </is>
      </c>
      <c r="B20" s="52" t="inlineStr">
        <is>
          <t>rüb 4</t>
        </is>
      </c>
      <c r="C20" s="53" t="inlineStr">
        <is>
          <t>08</t>
        </is>
      </c>
      <c r="D20" s="239" t="n">
        <v>81058.13</v>
      </c>
      <c r="E20" s="239" t="n">
        <v>37990.41</v>
      </c>
      <c r="F20" s="239" t="n">
        <v>16534.59</v>
      </c>
      <c r="G20" s="239" t="n">
        <v>102513.95</v>
      </c>
      <c r="H20" s="239" t="n">
        <v>811.45</v>
      </c>
      <c r="I20" s="239" t="n">
        <v>760.04</v>
      </c>
      <c r="J20" s="239" t="n">
        <v>179.87</v>
      </c>
      <c r="K20" s="239" t="n">
        <v>1391.62</v>
      </c>
    </row>
    <row r="21" ht="18" customHeight="1" s="132">
      <c r="A21" s="51" t="inlineStr">
        <is>
          <t>A9</t>
        </is>
      </c>
      <c r="B21" s="52" t="inlineStr">
        <is>
          <t>rüb 3</t>
        </is>
      </c>
      <c r="C21" s="53" t="inlineStr">
        <is>
          <t>09</t>
        </is>
      </c>
      <c r="D21" s="239" t="n">
        <v>50040.92</v>
      </c>
      <c r="E21" s="239" t="n">
        <v>16534.59</v>
      </c>
      <c r="F21" s="239" t="n">
        <v>15634.61</v>
      </c>
      <c r="G21" s="239" t="n">
        <v>50940.9</v>
      </c>
      <c r="H21" s="239" t="n">
        <v>498.81</v>
      </c>
      <c r="I21" s="239" t="n">
        <v>179.87</v>
      </c>
      <c r="J21" s="239" t="n">
        <v>165.91</v>
      </c>
      <c r="K21" s="239" t="n">
        <v>512.77</v>
      </c>
    </row>
    <row r="22" ht="18" customHeight="1" s="132">
      <c r="A22" s="51" t="inlineStr">
        <is>
          <t>A10</t>
        </is>
      </c>
      <c r="B22" s="52" t="inlineStr">
        <is>
          <t>rüb 2</t>
        </is>
      </c>
      <c r="C22" s="53" t="inlineStr">
        <is>
          <t>10</t>
        </is>
      </c>
      <c r="D22" s="239" t="n">
        <v>85909.82000000001</v>
      </c>
      <c r="E22" s="239" t="n">
        <v>15634.61</v>
      </c>
      <c r="F22" s="239" t="n">
        <v>19718.57</v>
      </c>
      <c r="G22" s="239" t="n">
        <v>81825.86</v>
      </c>
      <c r="H22" s="239" t="n">
        <v>859.87</v>
      </c>
      <c r="I22" s="239" t="n">
        <v>165.91</v>
      </c>
      <c r="J22" s="239" t="n">
        <v>202.17</v>
      </c>
      <c r="K22" s="239" t="n">
        <v>823.61</v>
      </c>
    </row>
    <row r="23" ht="18" customHeight="1" s="132">
      <c r="A23" s="51" t="inlineStr">
        <is>
          <t>A11</t>
        </is>
      </c>
      <c r="B23" s="52" t="inlineStr">
        <is>
          <t>rüb 1</t>
        </is>
      </c>
      <c r="C23" s="53" t="inlineStr">
        <is>
          <t>11</t>
        </is>
      </c>
      <c r="D23" s="239" t="n">
        <v>73575.76000000001</v>
      </c>
      <c r="E23" s="239" t="n">
        <v>19718.57</v>
      </c>
      <c r="F23" s="239" t="n">
        <v>20620.22</v>
      </c>
      <c r="G23" s="239" t="n">
        <v>72674.11</v>
      </c>
      <c r="H23" s="239" t="n">
        <v>736.3400000000001</v>
      </c>
      <c r="I23" s="239" t="n">
        <v>202.17</v>
      </c>
      <c r="J23" s="239" t="n">
        <v>206.29</v>
      </c>
      <c r="K23" s="239" t="n">
        <v>732.22</v>
      </c>
    </row>
    <row r="24" ht="31.2" customHeight="1" s="132">
      <c r="A24" s="51" t="inlineStr">
        <is>
          <t>A12</t>
        </is>
      </c>
      <c r="B24" s="54" t="inlineStr">
        <is>
          <t>Hesabat tarixi ilə qurtaran rüb</t>
        </is>
      </c>
      <c r="C24" s="53" t="inlineStr">
        <is>
          <t>12</t>
        </is>
      </c>
      <c r="D24" s="240" t="n">
        <v>0</v>
      </c>
      <c r="E24" s="239" t="n">
        <v>20620.22</v>
      </c>
      <c r="F24" s="82" t="n">
        <v>0</v>
      </c>
      <c r="G24" s="241" t="n">
        <v>20620.22</v>
      </c>
      <c r="H24" s="241" t="n">
        <v>0</v>
      </c>
      <c r="I24" s="241" t="n">
        <v>206.2</v>
      </c>
      <c r="J24" s="241" t="n">
        <v>0</v>
      </c>
      <c r="K24" s="241" t="n">
        <v>206.2</v>
      </c>
    </row>
    <row r="25">
      <c r="B25" s="178" t="inlineStr">
        <is>
          <t>QEYD: III sütunun hər bir sətirində müvafiq rüb ərzində bağlanmış sığorta və təkrarsığorta (təkrarsığortaya qəbul edilmiş risklər üzrə)  müqavilələri üzrə hesablanmış sığorta və təkrarsığorta haqlarının cəmi göstərilir.</t>
        </is>
      </c>
      <c r="H25" s="178" t="n"/>
      <c r="I25" s="178" t="n"/>
      <c r="J25" s="178" t="n"/>
      <c r="K25" s="178" t="n"/>
    </row>
    <row r="26" ht="18" customHeight="1" s="132">
      <c r="B26" s="27" t="n"/>
      <c r="C26" s="27" t="n"/>
      <c r="D26" s="27" t="n"/>
      <c r="E26" s="27" t="n"/>
      <c r="F26" s="27" t="n"/>
      <c r="G26" s="27" t="n"/>
      <c r="H26" s="27" t="n"/>
      <c r="I26" s="27" t="n"/>
      <c r="J26" s="27" t="n"/>
      <c r="K26" s="27" t="n"/>
    </row>
    <row r="27" ht="18" customHeight="1" s="132">
      <c r="B27" s="172" t="inlineStr">
        <is>
          <t>İdarə heyətinin sədri ______________________       _____________</t>
        </is>
      </c>
      <c r="F27" s="27" t="n"/>
      <c r="G27" s="27" t="n"/>
      <c r="H27" s="27" t="n"/>
      <c r="I27" s="27" t="n"/>
      <c r="J27" s="27" t="n"/>
      <c r="K27" s="27" t="n"/>
    </row>
    <row r="28" ht="18" customHeight="1" s="132">
      <c r="B28" s="173" t="inlineStr">
        <is>
          <t xml:space="preserve">                                     (s.a.a)                                     (imza)</t>
        </is>
      </c>
      <c r="F28" s="27" t="n"/>
      <c r="G28" s="27" t="n"/>
      <c r="H28" s="27" t="n"/>
      <c r="I28" s="27" t="n"/>
      <c r="J28" s="27" t="n"/>
      <c r="K28" s="27" t="n"/>
    </row>
    <row r="29" ht="18" customHeight="1" s="132">
      <c r="B29" s="24" t="n"/>
      <c r="C29" s="130" t="n"/>
      <c r="D29" s="130" t="n"/>
      <c r="E29" s="130" t="n"/>
      <c r="F29" s="27" t="n"/>
      <c r="G29" s="27" t="n"/>
      <c r="H29" s="27" t="n"/>
      <c r="I29" s="27" t="n"/>
      <c r="J29" s="27" t="n"/>
      <c r="K29" s="27" t="n"/>
    </row>
    <row r="30" ht="18" customHeight="1" s="132">
      <c r="B30" s="172" t="inlineStr">
        <is>
          <t>Baş mühasib _______________________       _____________</t>
        </is>
      </c>
      <c r="F30" s="27" t="n"/>
      <c r="G30" s="27" t="n"/>
      <c r="H30" s="27" t="n"/>
      <c r="I30" s="27" t="n"/>
      <c r="J30" s="27" t="n"/>
      <c r="K30" s="27" t="n"/>
    </row>
    <row r="31" ht="18" customHeight="1" s="132">
      <c r="B31" s="173" t="inlineStr">
        <is>
          <t xml:space="preserve">                                    (s.a.a)                                      (imza)</t>
        </is>
      </c>
      <c r="F31" s="27" t="n"/>
      <c r="G31" s="27" t="n"/>
      <c r="H31" s="27" t="n"/>
      <c r="I31" s="27" t="n"/>
      <c r="J31" s="27" t="n"/>
      <c r="K31" s="27" t="n"/>
    </row>
    <row r="32" ht="18" customHeight="1" s="132">
      <c r="B32" s="27" t="n"/>
      <c r="C32" s="27" t="n"/>
      <c r="D32" s="27" t="n"/>
      <c r="E32" s="27" t="n"/>
      <c r="F32" s="26" t="inlineStr">
        <is>
          <t>M.Y.</t>
        </is>
      </c>
      <c r="G32" s="27" t="n"/>
      <c r="H32" s="27" t="n"/>
      <c r="I32" s="27" t="n"/>
      <c r="J32" s="27" t="n"/>
      <c r="K32" s="27" t="n"/>
    </row>
  </sheetData>
  <mergeCells count="9">
    <mergeCell ref="B3:G3"/>
    <mergeCell ref="B31:E31"/>
    <mergeCell ref="B27:E27"/>
    <mergeCell ref="B5:G5"/>
    <mergeCell ref="B30:E30"/>
    <mergeCell ref="B4:G4"/>
    <mergeCell ref="B28:E28"/>
    <mergeCell ref="F1:G1"/>
    <mergeCell ref="B25:G25"/>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33"/>
  <sheetViews>
    <sheetView workbookViewId="0">
      <selection activeCell="E7" sqref="E7"/>
    </sheetView>
  </sheetViews>
  <sheetFormatPr baseColWidth="8" defaultRowHeight="18"/>
  <cols>
    <col width="8.88671875" customWidth="1" style="71" min="1" max="1"/>
    <col width="20.77734375" customWidth="1" style="71" min="2" max="3"/>
    <col width="21" customWidth="1" style="71" min="4" max="11"/>
    <col width="8.88671875" customWidth="1" style="132" min="12" max="16384"/>
  </cols>
  <sheetData>
    <row r="1" s="132">
      <c r="A1" s="71" t="n"/>
      <c r="B1" s="27" t="n"/>
      <c r="C1" s="27" t="n"/>
      <c r="D1" s="27" t="n"/>
      <c r="E1" s="193" t="inlineStr">
        <is>
          <t>«Həyat sığortası və qeyri-həyat sığortası
üzrə sığorta ehtiyatlarının formalaşdırılması
Qaydaları»na Əlavə № 3</t>
        </is>
      </c>
      <c r="H1" s="193" t="n"/>
      <c r="I1" s="193" t="n"/>
      <c r="J1" s="193" t="n"/>
      <c r="K1" s="193" t="n"/>
    </row>
    <row r="2" s="132">
      <c r="A2" s="71" t="n"/>
      <c r="B2" s="189" t="inlineStr">
        <is>
          <t>Forma № 8-10</t>
        </is>
      </c>
      <c r="C2" s="27" t="n"/>
      <c r="D2" s="27" t="n"/>
      <c r="E2" s="200" t="n"/>
      <c r="F2" s="200" t="n"/>
      <c r="G2" s="27" t="n"/>
      <c r="H2" s="27" t="n"/>
      <c r="I2" s="27" t="n"/>
      <c r="J2" s="27" t="n"/>
      <c r="K2" s="27" t="n"/>
    </row>
    <row r="3" s="132">
      <c r="A3" s="71" t="n"/>
      <c r="B3" s="189" t="inlineStr">
        <is>
          <t xml:space="preserve">Qazanılmış məcmu təkrarsığorta haqları </t>
        </is>
      </c>
      <c r="H3" s="189" t="n"/>
      <c r="I3" s="189" t="n"/>
      <c r="J3" s="189" t="n"/>
      <c r="K3" s="189" t="n"/>
    </row>
    <row r="4" s="132">
      <c r="A4" s="71" t="n"/>
      <c r="B4" s="176" t="n">
        <v>0</v>
      </c>
      <c r="H4" s="176" t="n"/>
      <c r="I4" s="176" t="n"/>
      <c r="J4" s="176" t="n"/>
      <c r="K4" s="176" t="n"/>
    </row>
    <row r="5" s="132">
      <c r="A5" s="71" t="n"/>
      <c r="B5" s="177" t="inlineStr">
        <is>
          <t xml:space="preserve">    (sığortaçının (təkrarsığortaçının)  adı)</t>
        </is>
      </c>
      <c r="H5" s="177" t="n"/>
      <c r="I5" s="177" t="n"/>
      <c r="J5" s="177" t="n"/>
      <c r="K5" s="177" t="n"/>
    </row>
    <row r="6" s="132">
      <c r="A6" s="71" t="n"/>
      <c r="B6" s="11" t="n"/>
      <c r="C6" s="11" t="n"/>
      <c r="D6" s="12" t="inlineStr">
        <is>
          <t>01.01.2026</t>
        </is>
      </c>
      <c r="E6" s="11" t="inlineStr">
        <is>
          <t xml:space="preserve"> -cı il  tarixə</t>
        </is>
      </c>
      <c r="F6" s="11" t="n"/>
      <c r="G6" s="11" t="n"/>
      <c r="H6" s="11" t="n"/>
      <c r="I6" s="11" t="n"/>
      <c r="J6" s="11" t="n"/>
      <c r="K6" s="11" t="n"/>
    </row>
    <row r="7" s="132">
      <c r="A7" s="71" t="n"/>
      <c r="B7" s="13" t="n"/>
      <c r="C7" s="13" t="n"/>
      <c r="D7" s="13" t="n"/>
      <c r="E7" s="13" t="n"/>
      <c r="F7" s="13" t="n"/>
      <c r="G7" s="13" t="n"/>
      <c r="H7" s="13" t="n"/>
      <c r="I7" s="13" t="n"/>
      <c r="J7" s="13" t="n"/>
      <c r="K7" s="13" t="n"/>
    </row>
    <row r="8" s="132">
      <c r="A8" s="71" t="n"/>
      <c r="B8" s="14" t="inlineStr">
        <is>
          <t>Sığortanın sinifi ____________________________</t>
        </is>
      </c>
      <c r="C8" s="219" t="inlineStr">
        <is>
          <t>(08)Yuk</t>
        </is>
      </c>
      <c r="D8" s="15" t="n"/>
      <c r="E8" s="13" t="n"/>
      <c r="F8" s="13" t="n"/>
      <c r="G8" s="13" t="n"/>
      <c r="H8" s="13" t="n"/>
      <c r="I8" s="13" t="n"/>
      <c r="J8" s="13" t="n"/>
      <c r="K8" s="13" t="n"/>
    </row>
    <row r="9" s="132">
      <c r="A9" s="71" t="n"/>
      <c r="B9" s="71" t="n"/>
      <c r="C9" s="71" t="n"/>
      <c r="D9" s="71" t="n"/>
      <c r="E9" s="71" t="n"/>
      <c r="F9" s="71" t="n"/>
      <c r="G9" s="71" t="n"/>
      <c r="H9" s="71" t="n"/>
      <c r="I9" s="71" t="n"/>
      <c r="J9" s="71" t="n"/>
      <c r="K9" s="71" t="n"/>
    </row>
    <row r="10" s="132">
      <c r="A10" s="71" t="n"/>
      <c r="B10" s="71" t="n"/>
      <c r="C10" s="71" t="n"/>
      <c r="D10" s="71" t="n"/>
      <c r="E10" s="71" t="n"/>
      <c r="F10" s="71" t="n"/>
      <c r="G10" s="71" t="n"/>
      <c r="H10" s="71" t="n"/>
      <c r="I10" s="71" t="n"/>
      <c r="J10" s="71" t="n"/>
      <c r="K10" s="71" t="n"/>
    </row>
    <row r="11" ht="139.2" customHeight="1" s="132">
      <c r="B11" s="18" t="inlineStr">
        <is>
          <t>Zərərlərin baş verməsi rübləri</t>
        </is>
      </c>
      <c r="C11" s="18" t="inlineStr">
        <is>
          <t>Sətrin kodu</t>
        </is>
      </c>
      <c r="D11" s="18" t="inlineStr">
        <is>
          <t>Rüb ərzində hesablanmış məcmu baza təkrarsığorta haqları</t>
        </is>
      </c>
      <c r="E11" s="18" t="inlineStr">
        <is>
          <t xml:space="preserve">Rübün əvvəlinə qazanılmamış sığorta haqları ehtiyatında təkrarsığortaçıla-rın payı </t>
        </is>
      </c>
      <c r="F11" s="18" t="inlineStr">
        <is>
          <t xml:space="preserve">Rübün sonuna qazanılmamış sığorta haqları ehtiyatında təkrarsığortaçıla-rın payı </t>
        </is>
      </c>
      <c r="G11" s="18" t="inlineStr">
        <is>
          <t>Rüb ərzində qazanılmış məcmu təkrarsığorta haqları (süt.3+süt.4-süt.5)</t>
        </is>
      </c>
      <c r="H11" s="18" t="inlineStr">
        <is>
          <t>Rüb ərzində hesablanmış məcmu baza təkrarsığorta haqlarının katastrofik risk təminatına düşən hissəsi</t>
        </is>
      </c>
      <c r="I11" s="18" t="inlineStr">
        <is>
          <t>Rübün əvvəlinə qazanılmamış təkrarsığorta haqqının katastrofik risk təminatına düşən hissəsi</t>
        </is>
      </c>
      <c r="J11" s="18" t="inlineStr">
        <is>
          <t>Rübün sonuna qazanılmamış təkrarsığorta haqqının katastrofik risk təminatına düşən hissəsi</t>
        </is>
      </c>
      <c r="K11" s="18" t="inlineStr">
        <is>
          <t>Qazanılmış təkrarsığorta haqqının katastrofik risk təminatına düşən hissəsi (VII+VIII-IX)</t>
        </is>
      </c>
    </row>
    <row r="12">
      <c r="B12" s="33" t="n">
        <v>1</v>
      </c>
      <c r="C12" s="33" t="n">
        <v>2</v>
      </c>
      <c r="D12" s="33" t="n">
        <v>3</v>
      </c>
      <c r="E12" s="33" t="n">
        <v>4</v>
      </c>
      <c r="F12" s="33" t="n">
        <v>5</v>
      </c>
      <c r="G12" s="33" t="n">
        <v>6</v>
      </c>
      <c r="H12" s="33" t="inlineStr">
        <is>
          <t>VII</t>
        </is>
      </c>
      <c r="I12" s="33" t="inlineStr">
        <is>
          <t>VIII</t>
        </is>
      </c>
      <c r="J12" s="33" t="inlineStr">
        <is>
          <t>IX</t>
        </is>
      </c>
      <c r="K12" s="33" t="inlineStr">
        <is>
          <t>X</t>
        </is>
      </c>
    </row>
    <row r="13">
      <c r="A13" s="51" t="inlineStr">
        <is>
          <t>A1</t>
        </is>
      </c>
      <c r="B13" s="52" t="inlineStr">
        <is>
          <t>rüb 11</t>
        </is>
      </c>
      <c r="C13" s="53" t="inlineStr">
        <is>
          <t>01</t>
        </is>
      </c>
      <c r="D13" s="239" t="n">
        <v>11273.73</v>
      </c>
      <c r="E13" s="239" t="n">
        <v>3919.09</v>
      </c>
      <c r="F13" s="239" t="n">
        <v>148.94</v>
      </c>
      <c r="G13" s="239" t="n">
        <v>15043.88</v>
      </c>
      <c r="H13" s="239" t="n">
        <v>225.47</v>
      </c>
      <c r="I13" s="239" t="n">
        <v>78.38</v>
      </c>
      <c r="J13" s="239" t="n">
        <v>2.98</v>
      </c>
      <c r="K13" s="239" t="n">
        <v>300.87</v>
      </c>
    </row>
    <row r="14">
      <c r="A14" s="51" t="inlineStr">
        <is>
          <t>A2</t>
        </is>
      </c>
      <c r="B14" s="52" t="inlineStr">
        <is>
          <t>rüb 10</t>
        </is>
      </c>
      <c r="C14" s="53" t="inlineStr">
        <is>
          <t>02</t>
        </is>
      </c>
      <c r="D14" s="239" t="n">
        <v>10784.64</v>
      </c>
      <c r="E14" s="239" t="n">
        <v>148.94</v>
      </c>
      <c r="F14" s="239" t="n">
        <v>3897.45</v>
      </c>
      <c r="G14" s="239" t="n">
        <v>7036.13</v>
      </c>
      <c r="H14" s="239" t="n">
        <v>215.69</v>
      </c>
      <c r="I14" s="239" t="n">
        <v>2.98</v>
      </c>
      <c r="J14" s="239" t="n">
        <v>77.95</v>
      </c>
      <c r="K14" s="239" t="n">
        <v>140.72</v>
      </c>
    </row>
    <row r="15">
      <c r="A15" s="51" t="inlineStr">
        <is>
          <t>A3</t>
        </is>
      </c>
      <c r="B15" s="52" t="inlineStr">
        <is>
          <t>rüb 9</t>
        </is>
      </c>
      <c r="C15" s="53" t="inlineStr">
        <is>
          <t>03</t>
        </is>
      </c>
      <c r="D15" s="239" t="n">
        <v>24471.55</v>
      </c>
      <c r="E15" s="239" t="n">
        <v>3897.45</v>
      </c>
      <c r="F15" s="239" t="n">
        <v>13318.81</v>
      </c>
      <c r="G15" s="239" t="n">
        <v>15050.19</v>
      </c>
      <c r="H15" s="239" t="n">
        <v>489.43</v>
      </c>
      <c r="I15" s="239" t="n">
        <v>77.95</v>
      </c>
      <c r="J15" s="239" t="n">
        <v>266.38</v>
      </c>
      <c r="K15" s="239" t="n">
        <v>301</v>
      </c>
    </row>
    <row r="16">
      <c r="A16" s="51" t="inlineStr">
        <is>
          <t>A4</t>
        </is>
      </c>
      <c r="B16" s="52" t="inlineStr">
        <is>
          <t>rüb 8</t>
        </is>
      </c>
      <c r="C16" s="53" t="inlineStr">
        <is>
          <t>04</t>
        </is>
      </c>
      <c r="D16" s="239" t="n">
        <v>14921.56</v>
      </c>
      <c r="E16" s="239" t="n">
        <v>13318.81</v>
      </c>
      <c r="F16" s="239" t="n">
        <v>10272.6</v>
      </c>
      <c r="G16" s="239" t="n">
        <v>17967.77</v>
      </c>
      <c r="H16" s="239" t="n">
        <v>298.43</v>
      </c>
      <c r="I16" s="239" t="n">
        <v>266.38</v>
      </c>
      <c r="J16" s="239" t="n">
        <v>205.45</v>
      </c>
      <c r="K16" s="239" t="n">
        <v>359.36</v>
      </c>
    </row>
    <row r="17">
      <c r="A17" s="51" t="inlineStr">
        <is>
          <t>A5</t>
        </is>
      </c>
      <c r="B17" s="52" t="inlineStr">
        <is>
          <t>rüb 7</t>
        </is>
      </c>
      <c r="C17" s="53" t="inlineStr">
        <is>
          <t>05</t>
        </is>
      </c>
      <c r="D17" s="239" t="n">
        <v>6392.53</v>
      </c>
      <c r="E17" s="239" t="n">
        <v>10272.6</v>
      </c>
      <c r="F17" s="239" t="n">
        <v>8370.959999999999</v>
      </c>
      <c r="G17" s="239" t="n">
        <v>8294.17</v>
      </c>
      <c r="H17" s="239" t="n">
        <v>127.85</v>
      </c>
      <c r="I17" s="239" t="n">
        <v>205.45</v>
      </c>
      <c r="J17" s="239" t="n">
        <v>167.42</v>
      </c>
      <c r="K17" s="239" t="n">
        <v>165.88</v>
      </c>
    </row>
    <row r="18">
      <c r="A18" s="51" t="inlineStr">
        <is>
          <t>A6</t>
        </is>
      </c>
      <c r="B18" s="52" t="inlineStr">
        <is>
          <t>rüb 6</t>
        </is>
      </c>
      <c r="C18" s="53" t="inlineStr">
        <is>
          <t>06</t>
        </is>
      </c>
      <c r="D18" s="239" t="n">
        <v>15669.98</v>
      </c>
      <c r="E18" s="239" t="n">
        <v>8370.959999999999</v>
      </c>
      <c r="F18" s="239" t="n">
        <v>13843.46</v>
      </c>
      <c r="G18" s="239" t="n">
        <v>10197.48</v>
      </c>
      <c r="H18" s="239" t="n">
        <v>313.4</v>
      </c>
      <c r="I18" s="239" t="n">
        <v>167.42</v>
      </c>
      <c r="J18" s="239" t="n">
        <v>281.98</v>
      </c>
      <c r="K18" s="239" t="n">
        <v>198.84</v>
      </c>
    </row>
    <row r="19">
      <c r="A19" s="51" t="inlineStr">
        <is>
          <t>A7</t>
        </is>
      </c>
      <c r="B19" s="52" t="inlineStr">
        <is>
          <t>rüb 5</t>
        </is>
      </c>
      <c r="C19" s="53" t="inlineStr">
        <is>
          <t>07</t>
        </is>
      </c>
      <c r="D19" s="239" t="n">
        <v>7039.78</v>
      </c>
      <c r="E19" s="239" t="n">
        <v>13843.46</v>
      </c>
      <c r="F19" s="239" t="n">
        <v>9040.879999999999</v>
      </c>
      <c r="G19" s="239" t="n">
        <v>11842.36</v>
      </c>
      <c r="H19" s="239" t="n">
        <v>143.74</v>
      </c>
      <c r="I19" s="239" t="n">
        <v>281.98</v>
      </c>
      <c r="J19" s="239" t="n">
        <v>184.81</v>
      </c>
      <c r="K19" s="239" t="n">
        <v>240.91</v>
      </c>
    </row>
    <row r="20">
      <c r="A20" s="51" t="inlineStr">
        <is>
          <t>A8</t>
        </is>
      </c>
      <c r="B20" s="52" t="inlineStr">
        <is>
          <t>rüb 4</t>
        </is>
      </c>
      <c r="C20" s="53" t="inlineStr">
        <is>
          <t>08</t>
        </is>
      </c>
      <c r="D20" s="239" t="n">
        <v>10851.4</v>
      </c>
      <c r="E20" s="239" t="n">
        <v>9040.879999999999</v>
      </c>
      <c r="F20" s="239" t="n">
        <v>6696.79</v>
      </c>
      <c r="G20" s="239" t="n">
        <v>13195.49</v>
      </c>
      <c r="H20" s="239" t="n">
        <v>108.52</v>
      </c>
      <c r="I20" s="239" t="n">
        <v>184.81</v>
      </c>
      <c r="J20" s="239" t="n">
        <v>105.54</v>
      </c>
      <c r="K20" s="239" t="n">
        <v>187.79</v>
      </c>
    </row>
    <row r="21">
      <c r="A21" s="51" t="inlineStr">
        <is>
          <t>A9</t>
        </is>
      </c>
      <c r="B21" s="52" t="inlineStr">
        <is>
          <t>rüb 3</t>
        </is>
      </c>
      <c r="C21" s="53" t="inlineStr">
        <is>
          <t>09</t>
        </is>
      </c>
      <c r="D21" s="239" t="n">
        <v>5036.08</v>
      </c>
      <c r="E21" s="239" t="n">
        <v>6696.79</v>
      </c>
      <c r="F21" s="239" t="n">
        <v>3146.49</v>
      </c>
      <c r="G21" s="239" t="n">
        <v>8586.379999999999</v>
      </c>
      <c r="H21" s="239" t="n">
        <v>50.37</v>
      </c>
      <c r="I21" s="239" t="n">
        <v>105.54</v>
      </c>
      <c r="J21" s="239" t="n">
        <v>42.61</v>
      </c>
      <c r="K21" s="239" t="n">
        <v>113.3</v>
      </c>
    </row>
    <row r="22">
      <c r="A22" s="51" t="inlineStr">
        <is>
          <t>A10</t>
        </is>
      </c>
      <c r="B22" s="52" t="inlineStr">
        <is>
          <t>rüb 2</t>
        </is>
      </c>
      <c r="C22" s="53" t="inlineStr">
        <is>
          <t>10</t>
        </is>
      </c>
      <c r="D22" s="239" t="n">
        <v>12502.49</v>
      </c>
      <c r="E22" s="239" t="n">
        <v>3146.49</v>
      </c>
      <c r="F22" s="239" t="n">
        <v>8610.280000000001</v>
      </c>
      <c r="G22" s="239" t="n">
        <v>7038.7</v>
      </c>
      <c r="H22" s="239" t="n">
        <v>125.03</v>
      </c>
      <c r="I22" s="239" t="n">
        <v>42.61</v>
      </c>
      <c r="J22" s="239" t="n">
        <v>91.70999999999999</v>
      </c>
      <c r="K22" s="239" t="n">
        <v>75.93000000000001</v>
      </c>
    </row>
    <row r="23">
      <c r="A23" s="51" t="inlineStr">
        <is>
          <t>A11</t>
        </is>
      </c>
      <c r="B23" s="52" t="inlineStr">
        <is>
          <t>rüb 1</t>
        </is>
      </c>
      <c r="C23" s="53" t="inlineStr">
        <is>
          <t>11</t>
        </is>
      </c>
      <c r="D23" s="239" t="n">
        <v>7520.84</v>
      </c>
      <c r="E23" s="239" t="n">
        <v>8610.280000000001</v>
      </c>
      <c r="F23" s="239" t="n">
        <v>8852.93</v>
      </c>
      <c r="G23" s="239" t="n">
        <v>7278.19</v>
      </c>
      <c r="H23" s="239" t="n">
        <v>77.02</v>
      </c>
      <c r="I23" s="239" t="n">
        <v>91.70999999999999</v>
      </c>
      <c r="J23" s="239" t="n">
        <v>90.34</v>
      </c>
      <c r="K23" s="239" t="n">
        <v>78.39</v>
      </c>
    </row>
    <row r="24" ht="31.2" customHeight="1" s="132">
      <c r="A24" s="51" t="inlineStr">
        <is>
          <t>A12</t>
        </is>
      </c>
      <c r="B24" s="54" t="inlineStr">
        <is>
          <t>Hesabat tarixi ilə qurtaran rüb</t>
        </is>
      </c>
      <c r="C24" s="53" t="inlineStr">
        <is>
          <t>12</t>
        </is>
      </c>
      <c r="D24" s="241" t="n">
        <v>0</v>
      </c>
      <c r="E24" s="239" t="n">
        <v>8852.93</v>
      </c>
      <c r="F24" s="241" t="n">
        <v>-7663.98</v>
      </c>
      <c r="G24" s="241" t="n">
        <v>16516.91</v>
      </c>
      <c r="H24" s="241" t="n">
        <v>0</v>
      </c>
      <c r="I24" s="241" t="n">
        <v>88.53</v>
      </c>
      <c r="J24" s="241" t="n">
        <v>-76.64</v>
      </c>
      <c r="K24" s="241" t="n">
        <v>165.17</v>
      </c>
    </row>
    <row r="25">
      <c r="B25" s="178" t="inlineStr">
        <is>
          <t>QEYD: III sütunun hər bir sətirində müvafiq rüb ərzində bağlanmış təkrarsığorta (təkrarsığortaya verilmiş risklər üzrə) müqavilələri üzrə hesablanmış təkrarsığorta haqlarının cəmi göstərilir.</t>
        </is>
      </c>
      <c r="H25" s="178" t="n"/>
      <c r="I25" s="178" t="n"/>
      <c r="J25" s="178" t="n"/>
      <c r="K25" s="178" t="n"/>
    </row>
    <row r="26">
      <c r="B26" s="178" t="n"/>
      <c r="C26" s="178" t="n"/>
      <c r="D26" s="178" t="n"/>
      <c r="E26" s="178" t="n"/>
      <c r="F26" s="178" t="n"/>
      <c r="G26" s="178" t="n"/>
      <c r="H26" s="178" t="n"/>
      <c r="I26" s="178" t="n"/>
      <c r="J26" s="178" t="n"/>
      <c r="K26" s="178" t="n"/>
    </row>
    <row r="27">
      <c r="B27" s="172" t="inlineStr">
        <is>
          <t>İdarə heyətinin sədri ______________________       _____________</t>
        </is>
      </c>
      <c r="F27" s="27" t="n"/>
      <c r="G27" s="27" t="n"/>
      <c r="H27" s="27" t="n"/>
      <c r="I27" s="27" t="n"/>
      <c r="J27" s="27" t="n"/>
      <c r="K27" s="27" t="n"/>
    </row>
    <row r="28">
      <c r="B28" s="173" t="inlineStr">
        <is>
          <t xml:space="preserve">                                     (s.a.a)                                     (imza)</t>
        </is>
      </c>
      <c r="F28" s="27" t="n"/>
      <c r="G28" s="27" t="n"/>
      <c r="H28" s="27" t="n"/>
      <c r="I28" s="27" t="n"/>
      <c r="J28" s="27" t="n"/>
      <c r="K28" s="27" t="n"/>
    </row>
    <row r="29">
      <c r="B29" s="24" t="n"/>
      <c r="C29" s="130" t="n"/>
      <c r="D29" s="130" t="n"/>
      <c r="E29" s="130" t="n"/>
      <c r="F29" s="27" t="n"/>
      <c r="G29" s="27" t="n"/>
      <c r="H29" s="27" t="n"/>
      <c r="I29" s="27" t="n"/>
      <c r="J29" s="27" t="n"/>
      <c r="K29" s="27" t="n"/>
    </row>
    <row r="30">
      <c r="B30" s="172" t="inlineStr">
        <is>
          <t>Baş mühasib _______________________       _____________</t>
        </is>
      </c>
      <c r="F30" s="27" t="n"/>
      <c r="G30" s="27" t="n"/>
      <c r="H30" s="27" t="n"/>
      <c r="I30" s="27" t="n"/>
      <c r="J30" s="27" t="n"/>
      <c r="K30" s="27" t="n"/>
    </row>
    <row r="31">
      <c r="B31" s="173" t="inlineStr">
        <is>
          <t xml:space="preserve">                                    (s.a.a)                                      (imza)</t>
        </is>
      </c>
      <c r="F31" s="27" t="n"/>
      <c r="G31" s="27" t="n"/>
      <c r="H31" s="27" t="n"/>
      <c r="I31" s="27" t="n"/>
      <c r="J31" s="27" t="n"/>
      <c r="K31" s="27" t="n"/>
    </row>
    <row r="32">
      <c r="B32" s="27" t="n"/>
      <c r="C32" s="27" t="n"/>
      <c r="D32" s="27" t="n"/>
      <c r="E32" s="27" t="n"/>
      <c r="F32" s="26" t="inlineStr">
        <is>
          <t>M.Y.</t>
        </is>
      </c>
      <c r="G32" s="27" t="n"/>
      <c r="H32" s="27" t="n"/>
      <c r="I32" s="27" t="n"/>
      <c r="J32" s="27" t="n"/>
      <c r="K32" s="27" t="n"/>
    </row>
    <row r="33">
      <c r="B33" s="27" t="n"/>
      <c r="C33" s="27" t="n"/>
      <c r="D33" s="27" t="n"/>
      <c r="E33" s="27" t="n"/>
      <c r="F33" s="27" t="n"/>
      <c r="G33" s="27" t="n"/>
      <c r="H33" s="27" t="n"/>
      <c r="I33" s="27" t="n"/>
      <c r="J33" s="27" t="n"/>
      <c r="K33" s="27" t="n"/>
    </row>
  </sheetData>
  <mergeCells count="9">
    <mergeCell ref="B3:G3"/>
    <mergeCell ref="B31:E31"/>
    <mergeCell ref="B27:E27"/>
    <mergeCell ref="B5:G5"/>
    <mergeCell ref="B30:E30"/>
    <mergeCell ref="E1:G1"/>
    <mergeCell ref="B4:G4"/>
    <mergeCell ref="B28:E28"/>
    <mergeCell ref="B25:G25"/>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W34"/>
  <sheetViews>
    <sheetView zoomScale="62" workbookViewId="0">
      <selection activeCell="E7" sqref="E7"/>
    </sheetView>
  </sheetViews>
  <sheetFormatPr baseColWidth="8" defaultRowHeight="14.4"/>
  <cols>
    <col width="8.88671875" customWidth="1" style="132" min="1" max="1"/>
    <col width="20.33203125" customWidth="1" style="132" min="2" max="2"/>
    <col width="10" customWidth="1" style="132" min="3" max="3"/>
    <col width="12.109375" bestFit="1" customWidth="1" style="132" min="4" max="4"/>
    <col width="10.77734375" customWidth="1" style="132" min="5" max="6"/>
    <col width="13.109375" bestFit="1" customWidth="1" style="132" min="7" max="7"/>
    <col width="10.77734375" customWidth="1" style="132" min="8" max="17"/>
    <col width="11.77734375" customWidth="1" style="132" min="18" max="23"/>
    <col width="8.88671875" customWidth="1" style="132" min="24" max="16384"/>
  </cols>
  <sheetData>
    <row r="1" ht="18" customHeight="1" s="132">
      <c r="B1" s="27" t="n"/>
      <c r="C1" s="27" t="n"/>
      <c r="D1" s="27" t="n"/>
      <c r="E1" s="200" t="n"/>
      <c r="N1" s="98" t="n"/>
      <c r="O1" s="98" t="n"/>
      <c r="P1" s="98" t="n"/>
      <c r="Q1" s="98" t="n"/>
      <c r="R1" s="98" t="n"/>
      <c r="S1" s="98" t="n"/>
      <c r="T1" s="174" t="inlineStr">
        <is>
          <t>«Həyat sığortası və qeyri-həyat sığortası
üzrə sığorta ehtiyatlarının formalaşdırılması
Qaydaları»na Əlavə № 3</t>
        </is>
      </c>
    </row>
    <row r="2" ht="18" customHeight="1" s="132">
      <c r="B2" s="201" t="inlineStr">
        <is>
          <t>Forma № 8-8</t>
        </is>
      </c>
      <c r="D2" s="27" t="n"/>
      <c r="E2" s="200" t="n"/>
      <c r="F2" s="200" t="n"/>
      <c r="G2" s="200" t="n"/>
      <c r="H2" s="200" t="n"/>
      <c r="I2" s="200" t="n"/>
      <c r="J2" s="200" t="n"/>
      <c r="K2" s="200" t="n"/>
      <c r="L2" s="200" t="n"/>
      <c r="M2" s="200" t="n"/>
      <c r="N2" s="98" t="n"/>
      <c r="O2" s="98" t="n"/>
      <c r="P2" s="98" t="n"/>
      <c r="Q2" s="98" t="n"/>
      <c r="R2" s="98" t="n"/>
      <c r="S2" s="98" t="n"/>
      <c r="T2" s="99" t="n"/>
      <c r="U2" s="99" t="n"/>
      <c r="V2" s="130" t="n"/>
      <c r="W2" s="130" t="n"/>
    </row>
    <row r="3" ht="17.4" customHeight="1" s="132">
      <c r="A3" s="130" t="n"/>
      <c r="B3" s="189" t="inlineStr">
        <is>
          <t>Üçbucaq metodu ilə hesablanmış baş vermiş, lakin bildirilməmiş zərərlər ehtiyatı</t>
        </is>
      </c>
    </row>
    <row r="4" ht="17.4" customHeight="1" s="132">
      <c r="C4" s="101" t="n"/>
      <c r="D4" s="101" t="n"/>
      <c r="E4" s="101" t="n"/>
      <c r="F4" s="101" t="n"/>
      <c r="G4" s="176" t="n">
        <v>0</v>
      </c>
      <c r="H4" s="101" t="n"/>
      <c r="I4" s="101" t="n"/>
      <c r="J4" s="101" t="n"/>
      <c r="K4" s="101" t="n"/>
      <c r="L4" s="101" t="n"/>
      <c r="M4" s="101" t="n"/>
      <c r="N4" s="101" t="n"/>
      <c r="O4" s="101" t="n"/>
      <c r="P4" s="101" t="n"/>
      <c r="Q4" s="101" t="n"/>
      <c r="R4" s="101" t="n"/>
      <c r="S4" s="101" t="n"/>
      <c r="T4" s="101" t="n"/>
      <c r="U4" s="101" t="n"/>
      <c r="V4" s="101" t="n"/>
      <c r="W4" s="101" t="n"/>
    </row>
    <row r="5" s="132">
      <c r="B5" s="202" t="inlineStr">
        <is>
          <t xml:space="preserve">    (sığortaçının (təkrarsığortaçının)  adı)</t>
        </is>
      </c>
    </row>
    <row r="6" ht="17.4" customHeight="1" s="132">
      <c r="C6" s="102" t="n"/>
      <c r="D6" s="12" t="inlineStr">
        <is>
          <t>01.01.2026</t>
        </is>
      </c>
      <c r="E6" s="103" t="inlineStr">
        <is>
          <t xml:space="preserve"> -cı il  tarixə</t>
        </is>
      </c>
      <c r="F6" s="102" t="n"/>
      <c r="I6" s="102" t="n"/>
      <c r="J6" s="102" t="n"/>
      <c r="K6" s="102" t="n"/>
      <c r="L6" s="102" t="n"/>
      <c r="M6" s="102" t="n"/>
      <c r="N6" s="102" t="n"/>
      <c r="O6" s="102" t="n"/>
      <c r="P6" s="102" t="n"/>
      <c r="Q6" s="102" t="n"/>
      <c r="R6" s="102" t="n"/>
      <c r="S6" s="102" t="n"/>
      <c r="T6" s="102" t="n"/>
      <c r="U6" s="102" t="n"/>
      <c r="V6" s="102" t="n"/>
      <c r="W6" s="102" t="n"/>
    </row>
    <row r="8" ht="18" customHeight="1" s="132">
      <c r="B8" s="171" t="inlineStr">
        <is>
          <t>Sığortanın sinifi ____________________________</t>
        </is>
      </c>
      <c r="C8" s="219" t="inlineStr">
        <is>
          <t>(08)Yuk</t>
        </is>
      </c>
      <c r="E8" s="15" t="n"/>
      <c r="F8" s="105" t="n"/>
      <c r="G8" s="105" t="n"/>
      <c r="H8" s="105" t="n"/>
      <c r="I8" s="105" t="n"/>
      <c r="J8" s="105" t="n"/>
      <c r="K8" s="105" t="n"/>
      <c r="L8" s="105" t="n"/>
      <c r="M8" s="105" t="n"/>
      <c r="N8" s="105" t="n"/>
      <c r="O8" s="105" t="n"/>
      <c r="P8" s="105" t="n"/>
      <c r="Q8" s="105" t="n"/>
      <c r="R8" s="105" t="n"/>
      <c r="S8" s="105" t="n"/>
      <c r="T8" s="105" t="n"/>
      <c r="U8" s="105" t="n"/>
      <c r="V8" s="105" t="n"/>
      <c r="W8" s="105" t="n"/>
    </row>
    <row r="9" ht="18" customHeight="1" s="132">
      <c r="B9" s="171" t="n"/>
      <c r="C9" s="105" t="n"/>
      <c r="D9" s="14" t="n"/>
      <c r="E9" s="15" t="n"/>
      <c r="F9" s="105" t="n"/>
      <c r="G9" s="105" t="n"/>
      <c r="H9" s="105" t="n"/>
      <c r="I9" s="105" t="n"/>
      <c r="J9" s="105" t="n"/>
      <c r="K9" s="105" t="n"/>
      <c r="L9" s="105" t="n"/>
      <c r="M9" s="105" t="n"/>
      <c r="N9" s="105" t="n"/>
      <c r="O9" s="105" t="n"/>
      <c r="P9" s="105" t="n"/>
      <c r="Q9" s="105" t="n"/>
      <c r="R9" s="105" t="n"/>
      <c r="S9" s="105" t="n"/>
      <c r="T9" s="105" t="n"/>
      <c r="U9" s="105" t="n"/>
      <c r="V9" s="105" t="n"/>
      <c r="W9" s="105" t="n"/>
    </row>
    <row r="10" ht="31.8" customHeight="1" s="132">
      <c r="B10" s="242" t="n">
        <v>0</v>
      </c>
      <c r="C10" s="226" t="n"/>
      <c r="D10" s="207" t="inlineStr">
        <is>
          <t>Sətrin kodu</t>
        </is>
      </c>
      <c r="E10" s="208" t="inlineStr">
        <is>
          <t>Zərərlərin ödənilməsi (inkişafı) rübləri</t>
        </is>
      </c>
      <c r="F10" s="227" t="n"/>
      <c r="G10" s="227" t="n"/>
      <c r="H10" s="227" t="n"/>
      <c r="I10" s="227" t="n"/>
      <c r="J10" s="227" t="n"/>
      <c r="K10" s="227" t="n"/>
      <c r="L10" s="227" t="n"/>
      <c r="M10" s="227" t="n"/>
      <c r="N10" s="227" t="n"/>
      <c r="O10" s="227" t="n"/>
      <c r="P10" s="228" t="n"/>
      <c r="Q10" s="207" t="inlineStr">
        <is>
          <t>Qazanılmış məcmu sığorta haqları</t>
        </is>
      </c>
      <c r="R10" s="207" t="inlineStr">
        <is>
          <t>Ödənilmiş zərərlər əmsalı</t>
        </is>
      </c>
      <c r="S10" s="207" t="inlineStr">
        <is>
          <t>Baş vermiş zərərlərin gözlənilən əmsalı</t>
        </is>
      </c>
      <c r="T10" s="207" t="inlineStr">
        <is>
          <t>Baş vermiş zərərlərin gözlənilən məbləği</t>
        </is>
      </c>
      <c r="U10" s="207" t="inlineStr">
        <is>
          <t>Baş vermiş, lakin ödənilmə-miş zərərlərin məcmu məbləği</t>
        </is>
      </c>
      <c r="V10" s="207" t="inlineStr">
        <is>
          <t>Bildirilmiş, lakin tənzimlən-məmiş zərərlərin məbləği</t>
        </is>
      </c>
      <c r="W10" s="207" t="inlineStr">
        <is>
          <t>Baş vermiş, lakin bildirilmə-miş zərərlərin məcmu məbləği</t>
        </is>
      </c>
    </row>
    <row r="11" ht="32.4" customHeight="1" s="132">
      <c r="B11" s="229" t="n"/>
      <c r="C11" s="230" t="n"/>
      <c r="D11" s="231" t="n"/>
      <c r="E11" s="207" t="n">
        <v>1</v>
      </c>
      <c r="F11" s="207" t="n">
        <v>2</v>
      </c>
      <c r="G11" s="207" t="n">
        <v>3</v>
      </c>
      <c r="H11" s="207" t="n">
        <v>4</v>
      </c>
      <c r="I11" s="207" t="n">
        <v>5</v>
      </c>
      <c r="J11" s="207" t="n">
        <v>6</v>
      </c>
      <c r="K11" s="207" t="n">
        <v>7</v>
      </c>
      <c r="L11" s="207" t="n">
        <v>8</v>
      </c>
      <c r="M11" s="207" t="n">
        <v>9</v>
      </c>
      <c r="N11" s="207" t="n">
        <v>10</v>
      </c>
      <c r="O11" s="207" t="n">
        <v>11</v>
      </c>
      <c r="P11" s="207" t="n">
        <v>12</v>
      </c>
      <c r="Q11" s="231" t="n"/>
      <c r="R11" s="231" t="n"/>
      <c r="S11" s="231" t="n"/>
      <c r="T11" s="231" t="n"/>
      <c r="U11" s="231" t="n"/>
      <c r="V11" s="231" t="n"/>
      <c r="W11" s="231" t="n"/>
    </row>
    <row r="12">
      <c r="B12" s="225" t="n">
        <v>1</v>
      </c>
      <c r="C12" s="232" t="n"/>
      <c r="D12" s="107" t="n">
        <v>2</v>
      </c>
      <c r="E12" s="107" t="n">
        <v>3</v>
      </c>
      <c r="F12" s="107" t="n">
        <v>4</v>
      </c>
      <c r="G12" s="107" t="n">
        <v>5</v>
      </c>
      <c r="H12" s="107" t="n">
        <v>6</v>
      </c>
      <c r="I12" s="107" t="n">
        <v>7</v>
      </c>
      <c r="J12" s="107" t="n">
        <v>8</v>
      </c>
      <c r="K12" s="107" t="n">
        <v>9</v>
      </c>
      <c r="L12" s="107" t="n">
        <v>10</v>
      </c>
      <c r="M12" s="107" t="n">
        <v>11</v>
      </c>
      <c r="N12" s="107" t="n">
        <v>12</v>
      </c>
      <c r="O12" s="107" t="n">
        <v>13</v>
      </c>
      <c r="P12" s="107" t="n">
        <v>14</v>
      </c>
      <c r="Q12" s="107" t="inlineStr">
        <is>
          <t>(Н+3)</t>
        </is>
      </c>
      <c r="R12" s="107" t="inlineStr">
        <is>
          <t>(Н+4)</t>
        </is>
      </c>
      <c r="S12" s="107" t="inlineStr">
        <is>
          <t>(Н+5)</t>
        </is>
      </c>
      <c r="T12" s="107" t="inlineStr">
        <is>
          <t>(Н+6)</t>
        </is>
      </c>
      <c r="U12" s="107" t="inlineStr">
        <is>
          <t>(Н+7)</t>
        </is>
      </c>
      <c r="V12" s="107" t="inlineStr">
        <is>
          <t>(Н+8)</t>
        </is>
      </c>
      <c r="W12" s="107" t="inlineStr">
        <is>
          <t>(Н+9)</t>
        </is>
      </c>
    </row>
    <row r="13" ht="15" customHeight="1" s="132">
      <c r="A13" t="inlineStr">
        <is>
          <t>A1</t>
        </is>
      </c>
      <c r="B13" s="196" t="inlineStr">
        <is>
          <t>Zərərlərin baş verməsi rübləri</t>
        </is>
      </c>
      <c r="C13" s="108" t="n">
        <v>1</v>
      </c>
      <c r="D13" s="237" t="n">
        <v>45017</v>
      </c>
      <c r="E13" s="243" t="n">
        <v>0</v>
      </c>
      <c r="F13" s="243" t="n">
        <v>400</v>
      </c>
      <c r="G13" s="243" t="n">
        <v>400</v>
      </c>
      <c r="H13" s="243" t="n">
        <v>400</v>
      </c>
      <c r="I13" s="243" t="n">
        <v>400</v>
      </c>
      <c r="J13" s="243" t="n">
        <v>400</v>
      </c>
      <c r="K13" s="243" t="n">
        <v>400</v>
      </c>
      <c r="L13" s="243" t="n">
        <v>400</v>
      </c>
      <c r="M13" s="243" t="n">
        <v>400</v>
      </c>
      <c r="N13" s="243" t="n">
        <v>400</v>
      </c>
      <c r="O13" s="243" t="n">
        <v>400</v>
      </c>
      <c r="P13" s="243" t="n">
        <v>400</v>
      </c>
      <c r="Q13" s="239" t="n">
        <v>73973.3</v>
      </c>
      <c r="R13" s="247" t="n">
        <v>0.0054</v>
      </c>
      <c r="S13" s="247" t="n">
        <v>0.2</v>
      </c>
      <c r="T13" s="243" t="n">
        <v>14794.66</v>
      </c>
      <c r="U13" s="243" t="n">
        <v>0</v>
      </c>
      <c r="V13" s="220" t="n">
        <v>0</v>
      </c>
      <c r="W13" s="243" t="n">
        <v>0</v>
      </c>
    </row>
    <row r="14" ht="15" customHeight="1" s="132">
      <c r="A14" t="inlineStr">
        <is>
          <t>A2</t>
        </is>
      </c>
      <c r="B14" s="233" t="n"/>
      <c r="C14" s="108" t="n">
        <v>2</v>
      </c>
      <c r="D14" s="237" t="n">
        <v>45108</v>
      </c>
      <c r="E14" s="243" t="n">
        <v>0</v>
      </c>
      <c r="F14" s="243" t="n">
        <v>0</v>
      </c>
      <c r="G14" s="243" t="n">
        <v>0</v>
      </c>
      <c r="H14" s="243" t="n">
        <v>0</v>
      </c>
      <c r="I14" s="243" t="n">
        <v>0</v>
      </c>
      <c r="J14" s="243" t="n">
        <v>0</v>
      </c>
      <c r="K14" s="243" t="n">
        <v>0</v>
      </c>
      <c r="L14" s="243" t="n">
        <v>0</v>
      </c>
      <c r="M14" s="243" t="n">
        <v>0</v>
      </c>
      <c r="N14" s="243" t="n">
        <v>0</v>
      </c>
      <c r="O14" s="243" t="n">
        <v>0</v>
      </c>
      <c r="P14" s="220" t="inlineStr">
        <is>
          <t>X</t>
        </is>
      </c>
      <c r="Q14" s="239" t="n">
        <v>61653.43</v>
      </c>
      <c r="R14" s="247" t="n">
        <v>0</v>
      </c>
      <c r="S14" s="247" t="n">
        <v>0.2</v>
      </c>
      <c r="T14" s="243" t="n">
        <v>12330.69</v>
      </c>
      <c r="U14" s="243" t="n">
        <v>0</v>
      </c>
      <c r="V14" s="220" t="n">
        <v>0</v>
      </c>
      <c r="W14" s="243" t="n">
        <v>0</v>
      </c>
    </row>
    <row r="15" ht="15" customHeight="1" s="132">
      <c r="A15" t="inlineStr">
        <is>
          <t>A3</t>
        </is>
      </c>
      <c r="B15" s="233" t="n"/>
      <c r="C15" s="108" t="n">
        <v>3</v>
      </c>
      <c r="D15" s="237" t="n">
        <v>45200</v>
      </c>
      <c r="E15" s="243" t="n">
        <v>0</v>
      </c>
      <c r="F15" s="243" t="n">
        <v>0</v>
      </c>
      <c r="G15" s="243" t="n">
        <v>0</v>
      </c>
      <c r="H15" s="243" t="n">
        <v>0</v>
      </c>
      <c r="I15" s="243" t="n">
        <v>0</v>
      </c>
      <c r="J15" s="243" t="n">
        <v>0</v>
      </c>
      <c r="K15" s="243" t="n">
        <v>0</v>
      </c>
      <c r="L15" s="243" t="n">
        <v>0</v>
      </c>
      <c r="M15" s="243" t="n">
        <v>0</v>
      </c>
      <c r="N15" s="243" t="n">
        <v>0</v>
      </c>
      <c r="O15" s="220" t="inlineStr">
        <is>
          <t>X</t>
        </is>
      </c>
      <c r="P15" s="220" t="inlineStr">
        <is>
          <t>X</t>
        </is>
      </c>
      <c r="Q15" s="239" t="n">
        <v>63127.13</v>
      </c>
      <c r="R15" s="247" t="n">
        <v>0</v>
      </c>
      <c r="S15" s="247" t="n">
        <v>0.2</v>
      </c>
      <c r="T15" s="243" t="n">
        <v>12625.43</v>
      </c>
      <c r="U15" s="243" t="n">
        <v>0</v>
      </c>
      <c r="V15" s="220" t="n">
        <v>0</v>
      </c>
      <c r="W15" s="243" t="n">
        <v>0</v>
      </c>
    </row>
    <row r="16" ht="15" customHeight="1" s="132">
      <c r="A16" t="inlineStr">
        <is>
          <t>A4</t>
        </is>
      </c>
      <c r="B16" s="233" t="n"/>
      <c r="C16" s="108" t="n">
        <v>4</v>
      </c>
      <c r="D16" s="237" t="n">
        <v>45292</v>
      </c>
      <c r="E16" s="243" t="n">
        <v>0</v>
      </c>
      <c r="F16" s="243" t="n">
        <v>0</v>
      </c>
      <c r="G16" s="243" t="n">
        <v>1345</v>
      </c>
      <c r="H16" s="243" t="n">
        <v>1345</v>
      </c>
      <c r="I16" s="243" t="n">
        <v>1345</v>
      </c>
      <c r="J16" s="243" t="n">
        <v>1345</v>
      </c>
      <c r="K16" s="243" t="n">
        <v>1345</v>
      </c>
      <c r="L16" s="243" t="n">
        <v>1345</v>
      </c>
      <c r="M16" s="243" t="n">
        <v>1345</v>
      </c>
      <c r="N16" s="220" t="inlineStr">
        <is>
          <t>X</t>
        </is>
      </c>
      <c r="O16" s="220" t="inlineStr">
        <is>
          <t>X</t>
        </is>
      </c>
      <c r="P16" s="220" t="inlineStr">
        <is>
          <t>X</t>
        </is>
      </c>
      <c r="Q16" s="239" t="n">
        <v>92159.28999999999</v>
      </c>
      <c r="R16" s="247" t="n">
        <v>0.0146</v>
      </c>
      <c r="S16" s="247" t="n">
        <v>0.2</v>
      </c>
      <c r="T16" s="243" t="n">
        <v>18431.86</v>
      </c>
      <c r="U16" s="243" t="n">
        <v>1.84</v>
      </c>
      <c r="V16" s="220" t="n">
        <v>0</v>
      </c>
      <c r="W16" s="243" t="n">
        <v>1.84</v>
      </c>
    </row>
    <row r="17" ht="15" customHeight="1" s="132">
      <c r="A17" t="inlineStr">
        <is>
          <t>A5</t>
        </is>
      </c>
      <c r="B17" s="233" t="n"/>
      <c r="C17" s="108" t="n">
        <v>5</v>
      </c>
      <c r="D17" s="237" t="n">
        <v>45383</v>
      </c>
      <c r="E17" s="243" t="n">
        <v>0</v>
      </c>
      <c r="F17" s="243" t="n">
        <v>0</v>
      </c>
      <c r="G17" s="243" t="n">
        <v>0</v>
      </c>
      <c r="H17" s="243" t="n">
        <v>0</v>
      </c>
      <c r="I17" s="243" t="n">
        <v>0</v>
      </c>
      <c r="J17" s="243" t="n">
        <v>0</v>
      </c>
      <c r="K17" s="243" t="n">
        <v>0</v>
      </c>
      <c r="L17" s="243" t="n">
        <v>0</v>
      </c>
      <c r="M17" s="220" t="inlineStr">
        <is>
          <t>X</t>
        </is>
      </c>
      <c r="N17" s="220" t="inlineStr">
        <is>
          <t>X</t>
        </is>
      </c>
      <c r="O17" s="220" t="inlineStr">
        <is>
          <t>X</t>
        </is>
      </c>
      <c r="P17" s="220" t="inlineStr">
        <is>
          <t>X</t>
        </is>
      </c>
      <c r="Q17" s="239" t="n">
        <v>43881.78</v>
      </c>
      <c r="R17" s="247" t="n">
        <v>0</v>
      </c>
      <c r="S17" s="247" t="n">
        <v>0.2</v>
      </c>
      <c r="T17" s="243" t="n">
        <v>8776.360000000001</v>
      </c>
      <c r="U17" s="243" t="n">
        <v>438.82</v>
      </c>
      <c r="V17" s="220" t="n">
        <v>0</v>
      </c>
      <c r="W17" s="243" t="n">
        <v>438.82</v>
      </c>
    </row>
    <row r="18" ht="15" customHeight="1" s="132">
      <c r="A18" t="inlineStr">
        <is>
          <t>A6</t>
        </is>
      </c>
      <c r="B18" s="233" t="n"/>
      <c r="C18" s="108" t="n">
        <v>6</v>
      </c>
      <c r="D18" s="237" t="n">
        <v>45474</v>
      </c>
      <c r="E18" s="243" t="n">
        <v>0</v>
      </c>
      <c r="F18" s="243" t="n">
        <v>359.35</v>
      </c>
      <c r="G18" s="243" t="n">
        <v>359.35</v>
      </c>
      <c r="H18" s="243" t="n">
        <v>359.35</v>
      </c>
      <c r="I18" s="243" t="n">
        <v>359.35</v>
      </c>
      <c r="J18" s="243" t="n">
        <v>359.35</v>
      </c>
      <c r="K18" s="243" t="n">
        <v>359.35</v>
      </c>
      <c r="L18" s="220" t="inlineStr">
        <is>
          <t>X</t>
        </is>
      </c>
      <c r="M18" s="220" t="inlineStr">
        <is>
          <t>X</t>
        </is>
      </c>
      <c r="N18" s="220" t="inlineStr">
        <is>
          <t>X</t>
        </is>
      </c>
      <c r="O18" s="220" t="inlineStr">
        <is>
          <t>X</t>
        </is>
      </c>
      <c r="P18" s="220" t="inlineStr">
        <is>
          <t>X</t>
        </is>
      </c>
      <c r="Q18" s="239" t="n">
        <v>85001.5</v>
      </c>
      <c r="R18" s="247" t="n">
        <v>0.0045</v>
      </c>
      <c r="S18" s="247" t="n">
        <v>0.2</v>
      </c>
      <c r="T18" s="243" t="n">
        <v>17000.3</v>
      </c>
      <c r="U18" s="243" t="n">
        <v>872.12</v>
      </c>
      <c r="V18" s="220" t="n">
        <v>0</v>
      </c>
      <c r="W18" s="243" t="n">
        <v>872.12</v>
      </c>
    </row>
    <row r="19" ht="15" customHeight="1" s="132">
      <c r="A19" t="inlineStr">
        <is>
          <t>A7</t>
        </is>
      </c>
      <c r="B19" s="233" t="n"/>
      <c r="C19" s="108" t="n">
        <v>7</v>
      </c>
      <c r="D19" s="237" t="n">
        <v>45566</v>
      </c>
      <c r="E19" s="243" t="n">
        <v>0</v>
      </c>
      <c r="F19" s="243" t="n">
        <v>0</v>
      </c>
      <c r="G19" s="243" t="n">
        <v>0</v>
      </c>
      <c r="H19" s="243" t="n">
        <v>0</v>
      </c>
      <c r="I19" s="243" t="n">
        <v>0</v>
      </c>
      <c r="J19" s="243" t="n">
        <v>0</v>
      </c>
      <c r="K19" s="220" t="inlineStr">
        <is>
          <t>X</t>
        </is>
      </c>
      <c r="L19" s="220" t="inlineStr">
        <is>
          <t>X</t>
        </is>
      </c>
      <c r="M19" s="220" t="inlineStr">
        <is>
          <t>X</t>
        </is>
      </c>
      <c r="N19" s="220" t="inlineStr">
        <is>
          <t>X</t>
        </is>
      </c>
      <c r="O19" s="220" t="inlineStr">
        <is>
          <t>X</t>
        </is>
      </c>
      <c r="P19" s="220" t="inlineStr">
        <is>
          <t>X</t>
        </is>
      </c>
      <c r="Q19" s="239" t="n">
        <v>105630.11</v>
      </c>
      <c r="R19" s="247" t="n">
        <v>0</v>
      </c>
      <c r="S19" s="247" t="n">
        <v>0.2</v>
      </c>
      <c r="T19" s="243" t="n">
        <v>21126.02</v>
      </c>
      <c r="U19" s="243" t="n">
        <v>1385.87</v>
      </c>
      <c r="V19" s="220" t="n">
        <v>0</v>
      </c>
      <c r="W19" s="243" t="n">
        <v>1385.87</v>
      </c>
    </row>
    <row r="20" ht="15" customHeight="1" s="132">
      <c r="A20" t="inlineStr">
        <is>
          <t>A8</t>
        </is>
      </c>
      <c r="B20" s="233" t="n"/>
      <c r="C20" s="108" t="n">
        <v>8</v>
      </c>
      <c r="D20" s="237" t="n">
        <v>45658</v>
      </c>
      <c r="E20" s="243" t="n">
        <v>0</v>
      </c>
      <c r="F20" s="243" t="n">
        <v>0</v>
      </c>
      <c r="G20" s="243" t="n">
        <v>0</v>
      </c>
      <c r="H20" s="243" t="n">
        <v>0</v>
      </c>
      <c r="I20" s="243" t="n">
        <v>0</v>
      </c>
      <c r="J20" s="220" t="inlineStr">
        <is>
          <t>X</t>
        </is>
      </c>
      <c r="K20" s="220" t="inlineStr">
        <is>
          <t>X</t>
        </is>
      </c>
      <c r="L20" s="220" t="inlineStr">
        <is>
          <t>X</t>
        </is>
      </c>
      <c r="M20" s="220" t="inlineStr">
        <is>
          <t>X</t>
        </is>
      </c>
      <c r="N20" s="220" t="inlineStr">
        <is>
          <t>X</t>
        </is>
      </c>
      <c r="O20" s="220" t="inlineStr">
        <is>
          <t>X</t>
        </is>
      </c>
      <c r="P20" s="220" t="inlineStr">
        <is>
          <t>X</t>
        </is>
      </c>
      <c r="Q20" s="239" t="n">
        <v>102513.95</v>
      </c>
      <c r="R20" s="247" t="n">
        <v>0</v>
      </c>
      <c r="S20" s="247" t="n">
        <v>0.2</v>
      </c>
      <c r="T20" s="243" t="n">
        <v>20502.79</v>
      </c>
      <c r="U20" s="243" t="n">
        <v>1545.91</v>
      </c>
      <c r="V20" s="220" t="n">
        <v>0</v>
      </c>
      <c r="W20" s="243" t="n">
        <v>1545.91</v>
      </c>
    </row>
    <row r="21" ht="15" customHeight="1" s="132">
      <c r="A21" t="inlineStr">
        <is>
          <t>A9</t>
        </is>
      </c>
      <c r="B21" s="233" t="n"/>
      <c r="C21" s="108" t="n">
        <v>9</v>
      </c>
      <c r="D21" s="237" t="n">
        <v>45748</v>
      </c>
      <c r="E21" s="243" t="n">
        <v>0</v>
      </c>
      <c r="F21" s="243" t="n">
        <v>0</v>
      </c>
      <c r="G21" s="243" t="n">
        <v>0</v>
      </c>
      <c r="H21" s="243" t="n">
        <v>0</v>
      </c>
      <c r="I21" s="220" t="inlineStr">
        <is>
          <t>X</t>
        </is>
      </c>
      <c r="J21" s="220" t="inlineStr">
        <is>
          <t>X</t>
        </is>
      </c>
      <c r="K21" s="220" t="inlineStr">
        <is>
          <t>X</t>
        </is>
      </c>
      <c r="L21" s="220" t="inlineStr">
        <is>
          <t>X</t>
        </is>
      </c>
      <c r="M21" s="220" t="inlineStr">
        <is>
          <t>X</t>
        </is>
      </c>
      <c r="N21" s="220" t="inlineStr">
        <is>
          <t>X</t>
        </is>
      </c>
      <c r="O21" s="220" t="inlineStr">
        <is>
          <t>X</t>
        </is>
      </c>
      <c r="P21" s="220" t="inlineStr">
        <is>
          <t>X</t>
        </is>
      </c>
      <c r="Q21" s="239" t="n">
        <v>50940.9</v>
      </c>
      <c r="R21" s="247" t="n">
        <v>0</v>
      </c>
      <c r="S21" s="247" t="n">
        <v>0.2</v>
      </c>
      <c r="T21" s="243" t="n">
        <v>10188.18</v>
      </c>
      <c r="U21" s="243" t="n">
        <v>929.16</v>
      </c>
      <c r="V21" s="220" t="n">
        <v>0</v>
      </c>
      <c r="W21" s="243" t="n">
        <v>929.16</v>
      </c>
    </row>
    <row r="22" ht="15" customHeight="1" s="132">
      <c r="A22" t="inlineStr">
        <is>
          <t>A10</t>
        </is>
      </c>
      <c r="B22" s="233" t="n"/>
      <c r="C22" s="108" t="n">
        <v>10</v>
      </c>
      <c r="D22" s="237" t="n">
        <v>45839</v>
      </c>
      <c r="E22" s="243" t="n">
        <v>0</v>
      </c>
      <c r="F22" s="243" t="n">
        <v>0</v>
      </c>
      <c r="G22" s="243" t="n">
        <v>0</v>
      </c>
      <c r="H22" s="220" t="inlineStr">
        <is>
          <t>X</t>
        </is>
      </c>
      <c r="I22" s="220" t="inlineStr">
        <is>
          <t>X</t>
        </is>
      </c>
      <c r="J22" s="220" t="inlineStr">
        <is>
          <t>X</t>
        </is>
      </c>
      <c r="K22" s="220" t="inlineStr">
        <is>
          <t>X</t>
        </is>
      </c>
      <c r="L22" s="220" t="inlineStr">
        <is>
          <t>X</t>
        </is>
      </c>
      <c r="M22" s="220" t="inlineStr">
        <is>
          <t>X</t>
        </is>
      </c>
      <c r="N22" s="220" t="inlineStr">
        <is>
          <t>X</t>
        </is>
      </c>
      <c r="O22" s="220" t="inlineStr">
        <is>
          <t>X</t>
        </is>
      </c>
      <c r="P22" s="220" t="inlineStr">
        <is>
          <t>X</t>
        </is>
      </c>
      <c r="Q22" s="239" t="n">
        <v>81825.86</v>
      </c>
      <c r="R22" s="247" t="n">
        <v>0</v>
      </c>
      <c r="S22" s="247" t="n">
        <v>0.2</v>
      </c>
      <c r="T22" s="243" t="n">
        <v>16365.17</v>
      </c>
      <c r="U22" s="243" t="n">
        <v>1950.73</v>
      </c>
      <c r="V22" s="220" t="n">
        <v>3000</v>
      </c>
      <c r="W22" s="243" t="n">
        <v>0</v>
      </c>
    </row>
    <row r="23" ht="15" customHeight="1" s="132">
      <c r="A23" t="inlineStr">
        <is>
          <t>A11</t>
        </is>
      </c>
      <c r="B23" s="233" t="n"/>
      <c r="C23" s="108" t="n">
        <v>11</v>
      </c>
      <c r="D23" s="237" t="n">
        <v>45931</v>
      </c>
      <c r="E23" s="243" t="n">
        <v>0</v>
      </c>
      <c r="F23" s="243" t="n">
        <v>0</v>
      </c>
      <c r="G23" s="220" t="inlineStr">
        <is>
          <t>X</t>
        </is>
      </c>
      <c r="H23" s="220" t="inlineStr">
        <is>
          <t>X</t>
        </is>
      </c>
      <c r="I23" s="220" t="inlineStr">
        <is>
          <t>X</t>
        </is>
      </c>
      <c r="J23" s="220" t="inlineStr">
        <is>
          <t>X</t>
        </is>
      </c>
      <c r="K23" s="220" t="inlineStr">
        <is>
          <t>X</t>
        </is>
      </c>
      <c r="L23" s="220" t="inlineStr">
        <is>
          <t>X</t>
        </is>
      </c>
      <c r="M23" s="220" t="inlineStr">
        <is>
          <t>X</t>
        </is>
      </c>
      <c r="N23" s="220" t="inlineStr">
        <is>
          <t>X</t>
        </is>
      </c>
      <c r="O23" s="220" t="inlineStr">
        <is>
          <t>X</t>
        </is>
      </c>
      <c r="P23" s="220" t="inlineStr">
        <is>
          <t>X</t>
        </is>
      </c>
      <c r="Q23" s="239" t="n">
        <v>72674.11</v>
      </c>
      <c r="R23" s="247" t="n">
        <v>0</v>
      </c>
      <c r="S23" s="247" t="n">
        <v>0.2</v>
      </c>
      <c r="T23" s="243" t="n">
        <v>14534.82</v>
      </c>
      <c r="U23" s="243" t="n">
        <v>5854.63</v>
      </c>
      <c r="V23" s="220" t="n">
        <v>0</v>
      </c>
      <c r="W23" s="243" t="n">
        <v>5854.63</v>
      </c>
    </row>
    <row r="24" ht="15" customHeight="1" s="132">
      <c r="A24" t="inlineStr">
        <is>
          <t>A12</t>
        </is>
      </c>
      <c r="B24" s="233" t="n"/>
      <c r="C24" s="108" t="n">
        <v>12</v>
      </c>
      <c r="D24" s="237" t="n">
        <v>46023</v>
      </c>
      <c r="E24" s="243" t="n">
        <v>0</v>
      </c>
      <c r="F24" s="220" t="inlineStr">
        <is>
          <t>X</t>
        </is>
      </c>
      <c r="G24" s="220" t="inlineStr">
        <is>
          <t>X</t>
        </is>
      </c>
      <c r="H24" s="220" t="inlineStr">
        <is>
          <t>X</t>
        </is>
      </c>
      <c r="I24" s="220" t="inlineStr">
        <is>
          <t>X</t>
        </is>
      </c>
      <c r="J24" s="220" t="inlineStr">
        <is>
          <t>X</t>
        </is>
      </c>
      <c r="K24" s="220" t="inlineStr">
        <is>
          <t>X</t>
        </is>
      </c>
      <c r="L24" s="220" t="inlineStr">
        <is>
          <t>X</t>
        </is>
      </c>
      <c r="M24" s="220" t="inlineStr">
        <is>
          <t>X</t>
        </is>
      </c>
      <c r="N24" s="220" t="inlineStr">
        <is>
          <t>X</t>
        </is>
      </c>
      <c r="O24" s="220" t="inlineStr">
        <is>
          <t>X</t>
        </is>
      </c>
      <c r="P24" s="220" t="inlineStr">
        <is>
          <t>X</t>
        </is>
      </c>
      <c r="Q24" s="241" t="n">
        <v>20620.22</v>
      </c>
      <c r="R24" s="247" t="n">
        <v>0</v>
      </c>
      <c r="S24" s="247" t="n">
        <v>0.2</v>
      </c>
      <c r="T24" s="243" t="n">
        <v>4124.04</v>
      </c>
      <c r="U24" s="243" t="n">
        <v>3077.36</v>
      </c>
      <c r="V24" s="220" t="n">
        <v>0</v>
      </c>
      <c r="W24" s="243" t="n">
        <v>3077.36</v>
      </c>
    </row>
    <row r="25" ht="106.8" customHeight="1" s="132">
      <c r="A25" t="inlineStr">
        <is>
          <t>A13</t>
        </is>
      </c>
      <c r="B25" s="194" t="inlineStr">
        <is>
          <t>Zərərlərin baş verməsi rübləri ərzində baş vermiş və zərərlərin ödənilməsi (inkişafı) rübünün sonunadək ödənilmiş zərərlərin məcmu məbləği</t>
        </is>
      </c>
      <c r="C25" s="228" t="n"/>
      <c r="D25" s="112" t="inlineStr">
        <is>
          <t>(Н+1)</t>
        </is>
      </c>
      <c r="E25" s="245" t="n">
        <v>0</v>
      </c>
      <c r="F25" s="245" t="n">
        <v>759.35</v>
      </c>
      <c r="G25" s="245" t="n">
        <v>2104.35</v>
      </c>
      <c r="H25" s="245" t="n">
        <v>2104.35</v>
      </c>
      <c r="I25" s="245" t="n">
        <v>2104.35</v>
      </c>
      <c r="J25" s="245" t="n">
        <v>2104.35</v>
      </c>
      <c r="K25" s="245" t="n">
        <v>2104.35</v>
      </c>
      <c r="L25" s="245" t="n">
        <v>1745</v>
      </c>
      <c r="M25" s="245" t="n">
        <v>1745</v>
      </c>
      <c r="N25" s="245" t="n">
        <v>400</v>
      </c>
      <c r="O25" s="245" t="n">
        <v>400</v>
      </c>
      <c r="P25" s="245" t="n">
        <v>400</v>
      </c>
      <c r="Q25" s="111" t="inlineStr">
        <is>
          <t>X</t>
        </is>
      </c>
      <c r="R25" s="111" t="inlineStr">
        <is>
          <t>X</t>
        </is>
      </c>
      <c r="S25" s="111" t="inlineStr">
        <is>
          <t>X</t>
        </is>
      </c>
      <c r="T25" s="111" t="inlineStr">
        <is>
          <t>X</t>
        </is>
      </c>
      <c r="U25" s="111" t="inlineStr">
        <is>
          <t>X</t>
        </is>
      </c>
      <c r="V25" s="111" t="inlineStr">
        <is>
          <t>X</t>
        </is>
      </c>
      <c r="W25" s="111" t="inlineStr">
        <is>
          <t>X</t>
        </is>
      </c>
    </row>
    <row r="26" ht="39.6" customHeight="1" s="132">
      <c r="A26" t="inlineStr">
        <is>
          <t>A14</t>
        </is>
      </c>
      <c r="B26" s="194" t="inlineStr">
        <is>
          <t>Zərərlərin baş verməsi rübləri (axırınçı rüb istisna olmaqla) ərzində baş vermiş və zərərlərin ödənilməsi (inkişafı) rübünün sonunadək ödənilmiş zərərlərin məcmu məbləği</t>
        </is>
      </c>
      <c r="C26" s="228" t="n"/>
      <c r="D26" s="112" t="inlineStr">
        <is>
          <t>(Н+2)</t>
        </is>
      </c>
      <c r="E26" s="243" t="n">
        <v>0</v>
      </c>
      <c r="F26" s="243" t="n">
        <v>759.35</v>
      </c>
      <c r="G26" s="243" t="n">
        <v>2104.35</v>
      </c>
      <c r="H26" s="243" t="n">
        <v>2104.35</v>
      </c>
      <c r="I26" s="243" t="n">
        <v>2104.35</v>
      </c>
      <c r="J26" s="243" t="n">
        <v>2104.35</v>
      </c>
      <c r="K26" s="243" t="n">
        <v>1745</v>
      </c>
      <c r="L26" s="243" t="n">
        <v>1745</v>
      </c>
      <c r="M26" s="243" t="n">
        <v>400</v>
      </c>
      <c r="N26" s="243" t="n">
        <v>400</v>
      </c>
      <c r="O26" s="243" t="n">
        <v>400</v>
      </c>
      <c r="P26" s="111" t="inlineStr">
        <is>
          <t>X</t>
        </is>
      </c>
      <c r="Q26" s="111" t="inlineStr">
        <is>
          <t>X</t>
        </is>
      </c>
      <c r="R26" s="111" t="inlineStr">
        <is>
          <t>X</t>
        </is>
      </c>
      <c r="S26" s="111" t="inlineStr">
        <is>
          <t>X</t>
        </is>
      </c>
      <c r="T26" s="111" t="inlineStr">
        <is>
          <t>X</t>
        </is>
      </c>
      <c r="U26" s="111" t="inlineStr">
        <is>
          <t>X</t>
        </is>
      </c>
      <c r="V26" s="111" t="inlineStr">
        <is>
          <t>X</t>
        </is>
      </c>
      <c r="W26" s="111" t="inlineStr">
        <is>
          <t>X</t>
        </is>
      </c>
    </row>
    <row r="27" ht="37.8" customHeight="1" s="132">
      <c r="A27" t="inlineStr">
        <is>
          <t>A15</t>
        </is>
      </c>
      <c r="B27" s="194" t="inlineStr">
        <is>
          <t xml:space="preserve">Zərərlərin inkişafı əmsalları </t>
        </is>
      </c>
      <c r="C27" s="228" t="n"/>
      <c r="D27" s="112" t="inlineStr">
        <is>
          <t>(Н+3)</t>
        </is>
      </c>
      <c r="E27" s="248" t="n">
        <v>2.3527</v>
      </c>
      <c r="F27" s="248" t="n">
        <v>1.4751</v>
      </c>
      <c r="G27" s="248" t="n">
        <v>1.0317</v>
      </c>
      <c r="H27" s="248" t="n">
        <v>1.0174</v>
      </c>
      <c r="I27" s="248" t="n">
        <v>1.0106</v>
      </c>
      <c r="J27" s="248" t="n">
        <v>1.0153</v>
      </c>
      <c r="K27" s="248" t="n">
        <v>1.0014</v>
      </c>
      <c r="L27" s="248" t="n">
        <v>1.0525</v>
      </c>
      <c r="M27" s="248" t="n">
        <v>1.0001</v>
      </c>
      <c r="N27" s="248" t="n">
        <v>1</v>
      </c>
      <c r="O27" s="248" t="n">
        <v>1</v>
      </c>
      <c r="P27" s="111" t="n">
        <v>1</v>
      </c>
      <c r="Q27" s="111" t="inlineStr">
        <is>
          <t>X</t>
        </is>
      </c>
      <c r="R27" s="111" t="inlineStr">
        <is>
          <t>X</t>
        </is>
      </c>
      <c r="S27" s="111" t="inlineStr">
        <is>
          <t>X</t>
        </is>
      </c>
      <c r="T27" s="111" t="inlineStr">
        <is>
          <t>X</t>
        </is>
      </c>
      <c r="U27" s="111" t="inlineStr">
        <is>
          <t>X</t>
        </is>
      </c>
      <c r="V27" s="111" t="inlineStr">
        <is>
          <t>X</t>
        </is>
      </c>
      <c r="W27" s="111" t="inlineStr">
        <is>
          <t>X</t>
        </is>
      </c>
    </row>
    <row r="28" ht="53.4" customHeight="1" s="132">
      <c r="A28" t="inlineStr">
        <is>
          <t>A16</t>
        </is>
      </c>
      <c r="B28" s="194" t="inlineStr">
        <is>
          <t xml:space="preserve">Zərərlərin inkişafı amilləri </t>
        </is>
      </c>
      <c r="C28" s="228" t="n"/>
      <c r="D28" s="112" t="inlineStr">
        <is>
          <t>(Н+4)</t>
        </is>
      </c>
      <c r="E28" s="248" t="n">
        <v>3.9399</v>
      </c>
      <c r="F28" s="248" t="n">
        <v>1.6746</v>
      </c>
      <c r="G28" s="248" t="n">
        <v>1.1353</v>
      </c>
      <c r="H28" s="248" t="n">
        <v>1.1004</v>
      </c>
      <c r="I28" s="248" t="n">
        <v>1.0816</v>
      </c>
      <c r="J28" s="248" t="n">
        <v>1.0702</v>
      </c>
      <c r="K28" s="248" t="n">
        <v>1.0541</v>
      </c>
      <c r="L28" s="248" t="n">
        <v>1.0526</v>
      </c>
      <c r="M28" s="248" t="n">
        <v>1.0001</v>
      </c>
      <c r="N28" s="248" t="n">
        <v>1</v>
      </c>
      <c r="O28" s="248" t="n">
        <v>1</v>
      </c>
      <c r="P28" s="111" t="n">
        <v>1</v>
      </c>
      <c r="Q28" s="111" t="inlineStr">
        <is>
          <t>X</t>
        </is>
      </c>
      <c r="R28" s="111" t="inlineStr">
        <is>
          <t>X</t>
        </is>
      </c>
      <c r="S28" s="111" t="inlineStr">
        <is>
          <t>X</t>
        </is>
      </c>
      <c r="T28" s="111" t="inlineStr">
        <is>
          <t>X</t>
        </is>
      </c>
      <c r="U28" s="111" t="inlineStr">
        <is>
          <t>X</t>
        </is>
      </c>
      <c r="V28" s="111" t="inlineStr">
        <is>
          <t>X</t>
        </is>
      </c>
      <c r="W28" s="111" t="inlineStr">
        <is>
          <t>X</t>
        </is>
      </c>
    </row>
    <row r="29" ht="45" customHeight="1" s="132">
      <c r="A29" t="inlineStr">
        <is>
          <t>A17</t>
        </is>
      </c>
      <c r="B29" s="194" t="inlineStr">
        <is>
          <t>Geçikmə amilləri</t>
        </is>
      </c>
      <c r="C29" s="228" t="n"/>
      <c r="D29" s="112" t="inlineStr">
        <is>
          <t>(Н+5)</t>
        </is>
      </c>
      <c r="E29" s="248" t="n">
        <v>0.2538</v>
      </c>
      <c r="F29" s="248" t="n">
        <v>0.5972</v>
      </c>
      <c r="G29" s="248" t="n">
        <v>0.8808</v>
      </c>
      <c r="H29" s="248" t="n">
        <v>0.9088000000000001</v>
      </c>
      <c r="I29" s="248" t="n">
        <v>0.9246</v>
      </c>
      <c r="J29" s="248" t="n">
        <v>0.9344</v>
      </c>
      <c r="K29" s="248" t="n">
        <v>0.9487</v>
      </c>
      <c r="L29" s="248" t="n">
        <v>0.95</v>
      </c>
      <c r="M29" s="248" t="n">
        <v>0.9999</v>
      </c>
      <c r="N29" s="248" t="n">
        <v>1</v>
      </c>
      <c r="O29" s="248" t="n">
        <v>1</v>
      </c>
      <c r="P29" s="111" t="n">
        <v>1</v>
      </c>
      <c r="Q29" s="111" t="inlineStr">
        <is>
          <t>X</t>
        </is>
      </c>
      <c r="R29" s="111" t="inlineStr">
        <is>
          <t>X</t>
        </is>
      </c>
      <c r="S29" s="111" t="inlineStr">
        <is>
          <t>X</t>
        </is>
      </c>
      <c r="T29" s="111" t="inlineStr">
        <is>
          <t>X</t>
        </is>
      </c>
      <c r="U29" s="111" t="inlineStr">
        <is>
          <t>X</t>
        </is>
      </c>
      <c r="V29" s="111" t="inlineStr">
        <is>
          <t>X</t>
        </is>
      </c>
      <c r="W29" s="111" t="inlineStr">
        <is>
          <t>X</t>
        </is>
      </c>
    </row>
    <row r="30" ht="58.8" customHeight="1" s="132">
      <c r="A30" t="inlineStr">
        <is>
          <t>A18</t>
        </is>
      </c>
      <c r="B30" s="194" t="inlineStr">
        <is>
          <t>Baş vermiş, lakin bildirilməmiş zərərlərin məbləği</t>
        </is>
      </c>
      <c r="C30" s="228" t="n"/>
      <c r="D30" s="112" t="inlineStr">
        <is>
          <t>(Н+6)</t>
        </is>
      </c>
      <c r="E30" s="111" t="inlineStr">
        <is>
          <t>X</t>
        </is>
      </c>
      <c r="F30" s="111" t="inlineStr">
        <is>
          <t>X</t>
        </is>
      </c>
      <c r="G30" s="111" t="inlineStr">
        <is>
          <t>X</t>
        </is>
      </c>
      <c r="H30" s="111" t="inlineStr">
        <is>
          <t>X</t>
        </is>
      </c>
      <c r="I30" s="111" t="inlineStr">
        <is>
          <t>X</t>
        </is>
      </c>
      <c r="J30" s="111" t="inlineStr">
        <is>
          <t>X</t>
        </is>
      </c>
      <c r="K30" s="111" t="inlineStr">
        <is>
          <t>X</t>
        </is>
      </c>
      <c r="L30" s="111" t="inlineStr">
        <is>
          <t>X</t>
        </is>
      </c>
      <c r="M30" s="111" t="inlineStr">
        <is>
          <t>X</t>
        </is>
      </c>
      <c r="N30" s="111" t="inlineStr">
        <is>
          <t>X</t>
        </is>
      </c>
      <c r="O30" s="111" t="inlineStr">
        <is>
          <t>X</t>
        </is>
      </c>
      <c r="P30" s="111" t="inlineStr">
        <is>
          <t>X</t>
        </is>
      </c>
      <c r="Q30" s="111" t="inlineStr">
        <is>
          <t>X</t>
        </is>
      </c>
      <c r="R30" s="111" t="inlineStr">
        <is>
          <t>X</t>
        </is>
      </c>
      <c r="S30" s="111" t="inlineStr">
        <is>
          <t>X</t>
        </is>
      </c>
      <c r="T30" s="111" t="inlineStr">
        <is>
          <t>X</t>
        </is>
      </c>
      <c r="U30" s="111" t="inlineStr">
        <is>
          <t>X</t>
        </is>
      </c>
      <c r="V30" s="111" t="inlineStr">
        <is>
          <t>X</t>
        </is>
      </c>
      <c r="W30" s="245" t="n">
        <v>14105.71</v>
      </c>
    </row>
    <row r="31" ht="34.8" customHeight="1" s="132">
      <c r="A31" t="inlineStr">
        <is>
          <t>A19</t>
        </is>
      </c>
      <c r="B31" s="195" t="inlineStr">
        <is>
          <t>Üçbucaq metodu ilə hesblanmış BVBZE</t>
        </is>
      </c>
      <c r="C31" s="230" t="n"/>
      <c r="D31" s="112" t="inlineStr">
        <is>
          <t>(Н+7)</t>
        </is>
      </c>
      <c r="E31" s="111" t="inlineStr">
        <is>
          <t>X</t>
        </is>
      </c>
      <c r="F31" s="111" t="inlineStr">
        <is>
          <t>X</t>
        </is>
      </c>
      <c r="G31" s="111" t="inlineStr">
        <is>
          <t>X</t>
        </is>
      </c>
      <c r="H31" s="111" t="inlineStr">
        <is>
          <t>X</t>
        </is>
      </c>
      <c r="I31" s="111" t="inlineStr">
        <is>
          <t>X</t>
        </is>
      </c>
      <c r="J31" s="111" t="inlineStr">
        <is>
          <t>X</t>
        </is>
      </c>
      <c r="K31" s="111" t="inlineStr">
        <is>
          <t>X</t>
        </is>
      </c>
      <c r="L31" s="111" t="inlineStr">
        <is>
          <t>X</t>
        </is>
      </c>
      <c r="M31" s="111" t="inlineStr">
        <is>
          <t>X</t>
        </is>
      </c>
      <c r="N31" s="111" t="inlineStr">
        <is>
          <t>X</t>
        </is>
      </c>
      <c r="O31" s="111" t="inlineStr">
        <is>
          <t>X</t>
        </is>
      </c>
      <c r="P31" s="111" t="inlineStr">
        <is>
          <t>X</t>
        </is>
      </c>
      <c r="Q31" s="111" t="inlineStr">
        <is>
          <t>X</t>
        </is>
      </c>
      <c r="R31" s="111" t="inlineStr">
        <is>
          <t>X</t>
        </is>
      </c>
      <c r="S31" s="111" t="inlineStr">
        <is>
          <t>X</t>
        </is>
      </c>
      <c r="T31" s="111" t="inlineStr">
        <is>
          <t>X</t>
        </is>
      </c>
      <c r="U31" s="111" t="inlineStr">
        <is>
          <t>X</t>
        </is>
      </c>
      <c r="V31" s="111" t="inlineStr">
        <is>
          <t>X</t>
        </is>
      </c>
      <c r="W31" s="245" t="n">
        <v>14528.88</v>
      </c>
    </row>
    <row r="32">
      <c r="B32" s="114" t="inlineStr">
        <is>
          <t>QEYD: 1. x(i,j) məbləğləri "Zərərlərin uçotu" jurnalına əsasən hesablanır. 2. Kodu N+6 olan sətir üzrə (N+9)-cu sütunda baş vermiş, lakin bildirilməmiş zərərlərin məcmu məbləği göstərilir. 3. Kodu N+7 olan sətir üzrə (N+9)-cu sütunda baş vermiş, lakin bildirilməmiş zərərlərin məcmu məbləğinin 1,03-ə vurulmasından alınan məbləğ göstərilir.</t>
        </is>
      </c>
      <c r="C32" s="114" t="n"/>
      <c r="D32" s="114" t="n"/>
      <c r="E32" s="115" t="n"/>
      <c r="F32" s="115" t="n"/>
      <c r="G32" s="115" t="n"/>
      <c r="H32" s="115" t="n"/>
      <c r="I32" s="115" t="n"/>
      <c r="J32" s="115" t="n"/>
      <c r="K32" s="115" t="n"/>
      <c r="L32" s="115" t="n"/>
      <c r="M32" s="115" t="n"/>
      <c r="N32" s="115" t="n"/>
      <c r="O32" s="115" t="n"/>
      <c r="P32" s="115" t="n"/>
      <c r="Q32" s="115" t="n"/>
      <c r="R32" s="115" t="n"/>
      <c r="S32" s="115" t="n"/>
      <c r="T32" s="115" t="n"/>
      <c r="U32" s="115" t="n"/>
      <c r="V32" s="115" t="n"/>
      <c r="W32" s="115" t="n"/>
    </row>
    <row r="33" ht="15.6" customHeight="1" s="132">
      <c r="B33" s="116" t="inlineStr">
        <is>
          <t xml:space="preserve">          İdarə heyətinin sədri ______________           Baş mühasib _________________     M.Y.</t>
        </is>
      </c>
      <c r="C33" s="117" t="n"/>
      <c r="D33" s="98" t="n"/>
      <c r="E33" s="118" t="n"/>
      <c r="F33" s="118" t="n"/>
      <c r="G33" s="118" t="n"/>
      <c r="H33" s="118" t="n"/>
      <c r="I33" s="118" t="n"/>
      <c r="J33" s="118" t="n"/>
      <c r="K33" s="118" t="n"/>
      <c r="L33" s="118" t="n"/>
      <c r="M33" s="118" t="n"/>
      <c r="N33" s="98" t="n"/>
      <c r="O33" s="119" t="n"/>
      <c r="P33" s="119" t="n"/>
      <c r="Q33" s="119" t="n"/>
      <c r="R33" s="119" t="n"/>
      <c r="S33" s="119" t="n"/>
      <c r="T33" s="119" t="n"/>
      <c r="U33" s="119" t="n"/>
      <c r="V33" s="119" t="n"/>
      <c r="W33" s="119" t="n"/>
    </row>
    <row r="34">
      <c r="B34" s="130" t="n"/>
      <c r="C34" s="130" t="n"/>
      <c r="D34" s="130" t="n"/>
      <c r="E34" s="130" t="n"/>
      <c r="F34" s="130" t="n"/>
      <c r="G34" s="130" t="n"/>
      <c r="H34" s="130" t="n"/>
      <c r="I34" s="130" t="n"/>
      <c r="J34" s="130" t="n"/>
      <c r="K34" s="130" t="n"/>
      <c r="L34" s="130" t="n"/>
      <c r="M34" s="130" t="n"/>
      <c r="N34" s="130" t="n"/>
      <c r="O34" s="130" t="n"/>
      <c r="P34" s="130" t="n"/>
      <c r="Q34" s="130" t="n"/>
      <c r="R34" s="130" t="n"/>
      <c r="S34" s="130" t="n"/>
      <c r="T34" s="130" t="n"/>
      <c r="U34" s="130" t="n"/>
      <c r="V34" s="130" t="n"/>
      <c r="W34" s="130" t="n"/>
    </row>
  </sheetData>
  <mergeCells count="24">
    <mergeCell ref="E1:M1"/>
    <mergeCell ref="E10:P10"/>
    <mergeCell ref="B25:C25"/>
    <mergeCell ref="B10:C11"/>
    <mergeCell ref="B31:C31"/>
    <mergeCell ref="B27:C27"/>
    <mergeCell ref="V10:V11"/>
    <mergeCell ref="B12:C12"/>
    <mergeCell ref="Q10:Q11"/>
    <mergeCell ref="B2:C2"/>
    <mergeCell ref="S10:S11"/>
    <mergeCell ref="B5:W5"/>
    <mergeCell ref="B3:W3"/>
    <mergeCell ref="B29:C29"/>
    <mergeCell ref="B28:C28"/>
    <mergeCell ref="U10:U11"/>
    <mergeCell ref="W10:W11"/>
    <mergeCell ref="B30:C30"/>
    <mergeCell ref="D10:D11"/>
    <mergeCell ref="B13:B24"/>
    <mergeCell ref="B26:C26"/>
    <mergeCell ref="R10:R11"/>
    <mergeCell ref="T10:T11"/>
    <mergeCell ref="T1:W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W34"/>
  <sheetViews>
    <sheetView zoomScale="62" workbookViewId="0">
      <selection activeCell="E7" sqref="E7"/>
    </sheetView>
  </sheetViews>
  <sheetFormatPr baseColWidth="8" defaultRowHeight="14.4"/>
  <cols>
    <col width="8.88671875" customWidth="1" style="132" min="1" max="1"/>
    <col width="20.33203125" customWidth="1" style="132" min="2" max="2"/>
    <col width="10" customWidth="1" style="132" min="3" max="3"/>
    <col width="12.109375" bestFit="1" customWidth="1" style="132" min="4" max="4"/>
    <col width="10.77734375" customWidth="1" style="132" min="5" max="6"/>
    <col width="13.109375" bestFit="1" customWidth="1" style="132" min="7" max="7"/>
    <col width="10.77734375" customWidth="1" style="132" min="8" max="17"/>
    <col width="11.77734375" customWidth="1" style="132" min="18" max="23"/>
    <col width="8.88671875" customWidth="1" style="132" min="24" max="16384"/>
  </cols>
  <sheetData>
    <row r="1" ht="18" customHeight="1" s="132">
      <c r="B1" s="27" t="n"/>
      <c r="C1" s="27" t="n"/>
      <c r="D1" s="27" t="n"/>
      <c r="E1" s="200" t="n"/>
      <c r="N1" s="98" t="n"/>
      <c r="O1" s="98" t="n"/>
      <c r="P1" s="98" t="n"/>
      <c r="Q1" s="98" t="n"/>
      <c r="R1" s="98" t="n"/>
      <c r="S1" s="98" t="n"/>
      <c r="T1" s="174" t="inlineStr">
        <is>
          <t>«Həyat sığortası və qeyri-həyat sığortası
üzrə sığorta ehtiyatlarının formalaşdırılması
Qaydaları»na Əlavə № 3</t>
        </is>
      </c>
    </row>
    <row r="2" ht="18" customHeight="1" s="132">
      <c r="B2" s="201" t="inlineStr">
        <is>
          <t>Forma № 8-12</t>
        </is>
      </c>
      <c r="D2" s="27" t="n"/>
      <c r="E2" s="200" t="n"/>
      <c r="F2" s="200" t="n"/>
      <c r="G2" s="200" t="n"/>
      <c r="H2" s="200" t="n"/>
      <c r="I2" s="200" t="n"/>
      <c r="J2" s="200" t="n"/>
      <c r="K2" s="200" t="n"/>
      <c r="L2" s="200" t="n"/>
      <c r="M2" s="200" t="n"/>
      <c r="N2" s="98" t="n"/>
      <c r="O2" s="98" t="n"/>
      <c r="P2" s="98" t="n"/>
      <c r="Q2" s="98" t="n"/>
      <c r="R2" s="98" t="n"/>
      <c r="S2" s="98" t="n"/>
      <c r="T2" s="99" t="n"/>
      <c r="U2" s="99" t="n"/>
      <c r="V2" s="130" t="n"/>
      <c r="W2" s="130" t="n"/>
    </row>
    <row r="3" ht="17.4" customHeight="1" s="132">
      <c r="A3" s="130" t="n"/>
      <c r="B3" s="189" t="inlineStr">
        <is>
          <t>Üçbucaq metodu ilə hesablanmış baş vermiş, lakin bildirilməmiş zərərlər ehtiyatında təkrarsığortaçıların payı</t>
        </is>
      </c>
    </row>
    <row r="4" ht="17.4" customHeight="1" s="132">
      <c r="C4" s="101" t="n"/>
      <c r="D4" s="101" t="n"/>
      <c r="E4" s="101" t="n"/>
      <c r="F4" s="101" t="n"/>
      <c r="G4" s="176" t="n">
        <v>0</v>
      </c>
      <c r="H4" s="101" t="n"/>
      <c r="I4" s="101" t="n"/>
      <c r="J4" s="101" t="n"/>
      <c r="K4" s="101" t="n"/>
      <c r="L4" s="101" t="n"/>
      <c r="M4" s="101" t="n"/>
      <c r="N4" s="101" t="n"/>
      <c r="O4" s="101" t="n"/>
      <c r="P4" s="101" t="n"/>
      <c r="Q4" s="101" t="n"/>
      <c r="R4" s="101" t="n"/>
      <c r="S4" s="101" t="n"/>
      <c r="T4" s="101" t="n"/>
      <c r="U4" s="101" t="n"/>
      <c r="V4" s="101" t="n"/>
      <c r="W4" s="101" t="n"/>
    </row>
    <row r="5" s="132">
      <c r="B5" s="202" t="inlineStr">
        <is>
          <t xml:space="preserve">    (sığortaçının (təkrarsığortaçının)  adı)</t>
        </is>
      </c>
    </row>
    <row r="6" ht="17.4" customHeight="1" s="132">
      <c r="C6" s="102" t="n"/>
      <c r="D6" s="12" t="inlineStr">
        <is>
          <t>01.01.2026</t>
        </is>
      </c>
      <c r="E6" s="103" t="inlineStr">
        <is>
          <t xml:space="preserve"> -cı il  tarixə</t>
        </is>
      </c>
      <c r="F6" s="102" t="n"/>
      <c r="I6" s="102" t="n"/>
      <c r="J6" s="102" t="n"/>
      <c r="K6" s="102" t="n"/>
      <c r="L6" s="102" t="n"/>
      <c r="M6" s="102" t="n"/>
      <c r="N6" s="102" t="n"/>
      <c r="O6" s="102" t="n"/>
      <c r="P6" s="102" t="n"/>
      <c r="Q6" s="102" t="n"/>
      <c r="R6" s="102" t="n"/>
      <c r="S6" s="102" t="n"/>
      <c r="T6" s="102" t="n"/>
      <c r="U6" s="102" t="n"/>
      <c r="V6" s="102" t="n"/>
      <c r="W6" s="102" t="n"/>
    </row>
    <row r="8" ht="18" customHeight="1" s="132">
      <c r="B8" s="171" t="inlineStr">
        <is>
          <t>Sığortanın sinifi ____________________________</t>
        </is>
      </c>
      <c r="C8" s="219" t="inlineStr">
        <is>
          <t>(08)Yuk</t>
        </is>
      </c>
      <c r="E8" s="15" t="n"/>
      <c r="F8" s="105" t="n"/>
      <c r="G8" s="105" t="n"/>
      <c r="H8" s="105" t="n"/>
      <c r="I8" s="105" t="n"/>
      <c r="J8" s="105" t="n"/>
      <c r="K8" s="105" t="n"/>
      <c r="L8" s="105" t="n"/>
      <c r="M8" s="105" t="n"/>
      <c r="N8" s="105" t="n"/>
      <c r="O8" s="105" t="n"/>
      <c r="P8" s="105" t="n"/>
      <c r="Q8" s="105" t="n"/>
      <c r="R8" s="105" t="n"/>
      <c r="S8" s="105" t="n"/>
      <c r="T8" s="105" t="n"/>
      <c r="U8" s="105" t="n"/>
      <c r="V8" s="105" t="n"/>
      <c r="W8" s="105" t="n"/>
    </row>
    <row r="9" ht="18" customHeight="1" s="132">
      <c r="B9" s="171" t="n"/>
      <c r="C9" s="105" t="n"/>
      <c r="D9" s="14" t="n"/>
      <c r="E9" s="15" t="n"/>
      <c r="F9" s="105" t="n"/>
      <c r="G9" s="105" t="n"/>
      <c r="H9" s="105" t="n"/>
      <c r="I9" s="105" t="n"/>
      <c r="J9" s="105" t="n"/>
      <c r="K9" s="105" t="n"/>
      <c r="L9" s="105" t="n"/>
      <c r="M9" s="105" t="n"/>
      <c r="N9" s="105" t="n"/>
      <c r="O9" s="105" t="n"/>
      <c r="P9" s="105" t="n"/>
      <c r="Q9" s="105" t="n"/>
      <c r="R9" s="105" t="n"/>
      <c r="S9" s="105" t="n"/>
      <c r="T9" s="105" t="n"/>
      <c r="U9" s="105" t="n"/>
      <c r="V9" s="105" t="n"/>
      <c r="W9" s="105" t="n"/>
    </row>
    <row r="10" ht="31.8" customHeight="1" s="132">
      <c r="B10" s="242" t="n">
        <v>0</v>
      </c>
      <c r="C10" s="226" t="n"/>
      <c r="D10" s="207" t="inlineStr">
        <is>
          <t>Sətrin kodu</t>
        </is>
      </c>
      <c r="E10" s="208" t="inlineStr">
        <is>
          <t>Zərərlərin ödənilməsi (inkişafı) rübləri</t>
        </is>
      </c>
      <c r="F10" s="227" t="n"/>
      <c r="G10" s="227" t="n"/>
      <c r="H10" s="227" t="n"/>
      <c r="I10" s="227" t="n"/>
      <c r="J10" s="227" t="n"/>
      <c r="K10" s="227" t="n"/>
      <c r="L10" s="227" t="n"/>
      <c r="M10" s="227" t="n"/>
      <c r="N10" s="227" t="n"/>
      <c r="O10" s="227" t="n"/>
      <c r="P10" s="228" t="n"/>
      <c r="Q10" s="207" t="inlineStr">
        <is>
          <t>Qazanılmış məcmu təkrarsığorta haqları</t>
        </is>
      </c>
      <c r="R10" s="207" t="inlineStr">
        <is>
          <t>Ödənilmiş zərərlər əmsalı</t>
        </is>
      </c>
      <c r="S10" s="207" t="inlineStr">
        <is>
          <t>Baş vermiş zərərlərin gözlənilən əmsalı</t>
        </is>
      </c>
      <c r="T10" s="207" t="inlineStr">
        <is>
          <t>Baş vermiş zərərlərin gözlənilən məbləği</t>
        </is>
      </c>
      <c r="U10" s="207" t="inlineStr">
        <is>
          <t>Baş vermiş, lakin ödənilmə-miş zərərlərin məcmu məbləği</t>
        </is>
      </c>
      <c r="V10" s="207" t="inlineStr">
        <is>
          <t>Bildirilmiş, lakin tənzim-lənməmiş zərərlərin məbləği</t>
        </is>
      </c>
      <c r="W10" s="207" t="inlineStr">
        <is>
          <t>Baş vermiş, lakin bildirilmə-miş zərərlərin məcmu məbləği</t>
        </is>
      </c>
    </row>
    <row r="11" ht="32.4" customHeight="1" s="132">
      <c r="B11" s="229" t="n"/>
      <c r="C11" s="230" t="n"/>
      <c r="D11" s="231" t="n"/>
      <c r="E11" s="207" t="n">
        <v>1</v>
      </c>
      <c r="F11" s="207" t="n">
        <v>2</v>
      </c>
      <c r="G11" s="207" t="n">
        <v>3</v>
      </c>
      <c r="H11" s="207" t="n">
        <v>4</v>
      </c>
      <c r="I11" s="207" t="n">
        <v>5</v>
      </c>
      <c r="J11" s="207" t="n">
        <v>6</v>
      </c>
      <c r="K11" s="207" t="n">
        <v>7</v>
      </c>
      <c r="L11" s="207" t="n">
        <v>8</v>
      </c>
      <c r="M11" s="207" t="n">
        <v>9</v>
      </c>
      <c r="N11" s="207" t="n">
        <v>10</v>
      </c>
      <c r="O11" s="207" t="n">
        <v>11</v>
      </c>
      <c r="P11" s="207" t="n">
        <v>12</v>
      </c>
      <c r="Q11" s="231" t="n"/>
      <c r="R11" s="231" t="n"/>
      <c r="S11" s="231" t="n"/>
      <c r="T11" s="231" t="n"/>
      <c r="U11" s="231" t="n"/>
      <c r="V11" s="231" t="n"/>
      <c r="W11" s="231" t="n"/>
    </row>
    <row r="12">
      <c r="B12" s="225" t="n">
        <v>1</v>
      </c>
      <c r="C12" s="232" t="n"/>
      <c r="D12" s="107" t="n">
        <v>2</v>
      </c>
      <c r="E12" s="107" t="n">
        <v>3</v>
      </c>
      <c r="F12" s="107" t="n">
        <v>4</v>
      </c>
      <c r="G12" s="107" t="n">
        <v>5</v>
      </c>
      <c r="H12" s="107" t="n">
        <v>6</v>
      </c>
      <c r="I12" s="107" t="n">
        <v>7</v>
      </c>
      <c r="J12" s="107" t="n">
        <v>8</v>
      </c>
      <c r="K12" s="107" t="n">
        <v>9</v>
      </c>
      <c r="L12" s="107" t="n">
        <v>10</v>
      </c>
      <c r="M12" s="107" t="n">
        <v>11</v>
      </c>
      <c r="N12" s="107" t="n">
        <v>12</v>
      </c>
      <c r="O12" s="107" t="n">
        <v>13</v>
      </c>
      <c r="P12" s="107" t="n">
        <v>14</v>
      </c>
      <c r="Q12" s="107" t="inlineStr">
        <is>
          <t>(Н+3)</t>
        </is>
      </c>
      <c r="R12" s="107" t="inlineStr">
        <is>
          <t>(Н+4)</t>
        </is>
      </c>
      <c r="S12" s="107" t="inlineStr">
        <is>
          <t>(Н+5)</t>
        </is>
      </c>
      <c r="T12" s="107" t="inlineStr">
        <is>
          <t>(Н+6)</t>
        </is>
      </c>
      <c r="U12" s="107" t="inlineStr">
        <is>
          <t>(Н+7)</t>
        </is>
      </c>
      <c r="V12" s="107" t="inlineStr">
        <is>
          <t>(Н+8)</t>
        </is>
      </c>
      <c r="W12" s="107" t="inlineStr">
        <is>
          <t>(Н+9)</t>
        </is>
      </c>
    </row>
    <row r="13" ht="15" customHeight="1" s="132">
      <c r="A13" t="inlineStr">
        <is>
          <t>A1</t>
        </is>
      </c>
      <c r="B13" s="196" t="inlineStr">
        <is>
          <t>Zərərlərin baş verməsi rübləri</t>
        </is>
      </c>
      <c r="C13" s="108" t="n">
        <v>1</v>
      </c>
      <c r="D13" s="237" t="n">
        <v>45017</v>
      </c>
      <c r="E13" s="243" t="n">
        <v>0</v>
      </c>
      <c r="F13" s="243" t="n">
        <v>0</v>
      </c>
      <c r="G13" s="243" t="n">
        <v>0</v>
      </c>
      <c r="H13" s="243" t="n">
        <v>0</v>
      </c>
      <c r="I13" s="243" t="n">
        <v>0</v>
      </c>
      <c r="J13" s="243" t="n">
        <v>0</v>
      </c>
      <c r="K13" s="243" t="n">
        <v>0</v>
      </c>
      <c r="L13" s="243" t="n">
        <v>0</v>
      </c>
      <c r="M13" s="243" t="n">
        <v>0</v>
      </c>
      <c r="N13" s="243" t="n">
        <v>0</v>
      </c>
      <c r="O13" s="243" t="n">
        <v>0</v>
      </c>
      <c r="P13" s="243" t="n">
        <v>0</v>
      </c>
      <c r="Q13" s="239" t="n">
        <v>15043.88</v>
      </c>
      <c r="R13" s="247" t="n">
        <v>0</v>
      </c>
      <c r="S13" s="247" t="n">
        <v>0.25</v>
      </c>
      <c r="T13" s="243" t="n">
        <v>3760.97</v>
      </c>
      <c r="U13" s="243" t="n">
        <v>0</v>
      </c>
      <c r="V13" s="220" t="n">
        <v>0</v>
      </c>
      <c r="W13" s="243" t="n">
        <v>0</v>
      </c>
    </row>
    <row r="14" ht="15" customHeight="1" s="132">
      <c r="A14" t="inlineStr">
        <is>
          <t>A2</t>
        </is>
      </c>
      <c r="B14" s="233" t="n"/>
      <c r="C14" s="108" t="n">
        <v>2</v>
      </c>
      <c r="D14" s="237" t="n">
        <v>45108</v>
      </c>
      <c r="E14" s="243" t="n">
        <v>0</v>
      </c>
      <c r="F14" s="243" t="n">
        <v>0</v>
      </c>
      <c r="G14" s="243" t="n">
        <v>0</v>
      </c>
      <c r="H14" s="243" t="n">
        <v>0</v>
      </c>
      <c r="I14" s="243" t="n">
        <v>0</v>
      </c>
      <c r="J14" s="243" t="n">
        <v>0</v>
      </c>
      <c r="K14" s="243" t="n">
        <v>0</v>
      </c>
      <c r="L14" s="243" t="n">
        <v>0</v>
      </c>
      <c r="M14" s="243" t="n">
        <v>0</v>
      </c>
      <c r="N14" s="243" t="n">
        <v>0</v>
      </c>
      <c r="O14" s="243" t="n">
        <v>0</v>
      </c>
      <c r="P14" s="220" t="inlineStr">
        <is>
          <t>X</t>
        </is>
      </c>
      <c r="Q14" s="239" t="n">
        <v>7036.13</v>
      </c>
      <c r="R14" s="247" t="n">
        <v>0</v>
      </c>
      <c r="S14" s="247" t="n">
        <v>0.25</v>
      </c>
      <c r="T14" s="243" t="n">
        <v>1759.03</v>
      </c>
      <c r="U14" s="243" t="n">
        <v>0</v>
      </c>
      <c r="V14" s="220" t="n">
        <v>0</v>
      </c>
      <c r="W14" s="243" t="n">
        <v>0</v>
      </c>
    </row>
    <row r="15" ht="15" customHeight="1" s="132">
      <c r="A15" t="inlineStr">
        <is>
          <t>A3</t>
        </is>
      </c>
      <c r="B15" s="233" t="n"/>
      <c r="C15" s="108" t="n">
        <v>3</v>
      </c>
      <c r="D15" s="237" t="n">
        <v>45200</v>
      </c>
      <c r="E15" s="243" t="n">
        <v>0</v>
      </c>
      <c r="F15" s="243" t="n">
        <v>0</v>
      </c>
      <c r="G15" s="243" t="n">
        <v>0</v>
      </c>
      <c r="H15" s="243" t="n">
        <v>0</v>
      </c>
      <c r="I15" s="243" t="n">
        <v>0</v>
      </c>
      <c r="J15" s="243" t="n">
        <v>0</v>
      </c>
      <c r="K15" s="243" t="n">
        <v>0</v>
      </c>
      <c r="L15" s="243" t="n">
        <v>0</v>
      </c>
      <c r="M15" s="243" t="n">
        <v>0</v>
      </c>
      <c r="N15" s="243" t="n">
        <v>0</v>
      </c>
      <c r="O15" s="220" t="inlineStr">
        <is>
          <t>X</t>
        </is>
      </c>
      <c r="P15" s="220" t="inlineStr">
        <is>
          <t>X</t>
        </is>
      </c>
      <c r="Q15" s="239" t="n">
        <v>15050.19</v>
      </c>
      <c r="R15" s="247" t="n">
        <v>0</v>
      </c>
      <c r="S15" s="247" t="n">
        <v>0.25</v>
      </c>
      <c r="T15" s="243" t="n">
        <v>3762.55</v>
      </c>
      <c r="U15" s="243" t="n">
        <v>-1.13</v>
      </c>
      <c r="V15" s="220" t="n">
        <v>0</v>
      </c>
      <c r="W15" s="243" t="n">
        <v>0</v>
      </c>
    </row>
    <row r="16" ht="15" customHeight="1" s="132">
      <c r="A16" t="inlineStr">
        <is>
          <t>A4</t>
        </is>
      </c>
      <c r="B16" s="233" t="n"/>
      <c r="C16" s="108" t="n">
        <v>4</v>
      </c>
      <c r="D16" s="237" t="n">
        <v>45292</v>
      </c>
      <c r="E16" s="243" t="n">
        <v>0</v>
      </c>
      <c r="F16" s="243" t="n">
        <v>0</v>
      </c>
      <c r="G16" s="243" t="n">
        <v>0</v>
      </c>
      <c r="H16" s="243" t="n">
        <v>0</v>
      </c>
      <c r="I16" s="243" t="n">
        <v>0</v>
      </c>
      <c r="J16" s="243" t="n">
        <v>0</v>
      </c>
      <c r="K16" s="243" t="n">
        <v>0</v>
      </c>
      <c r="L16" s="243" t="n">
        <v>0</v>
      </c>
      <c r="M16" s="243" t="n">
        <v>0</v>
      </c>
      <c r="N16" s="220" t="inlineStr">
        <is>
          <t>X</t>
        </is>
      </c>
      <c r="O16" s="220" t="inlineStr">
        <is>
          <t>X</t>
        </is>
      </c>
      <c r="P16" s="220" t="inlineStr">
        <is>
          <t>X</t>
        </is>
      </c>
      <c r="Q16" s="239" t="n">
        <v>17967.77</v>
      </c>
      <c r="R16" s="247" t="n">
        <v>0</v>
      </c>
      <c r="S16" s="247" t="n">
        <v>0.25</v>
      </c>
      <c r="T16" s="243" t="n">
        <v>4491.94</v>
      </c>
      <c r="U16" s="243" t="n">
        <v>-1.8</v>
      </c>
      <c r="V16" s="220" t="n">
        <v>0</v>
      </c>
      <c r="W16" s="243" t="n">
        <v>0</v>
      </c>
    </row>
    <row r="17" ht="15" customHeight="1" s="132">
      <c r="A17" t="inlineStr">
        <is>
          <t>A5</t>
        </is>
      </c>
      <c r="B17" s="233" t="n"/>
      <c r="C17" s="108" t="n">
        <v>5</v>
      </c>
      <c r="D17" s="237" t="n">
        <v>45383</v>
      </c>
      <c r="E17" s="243" t="n">
        <v>0</v>
      </c>
      <c r="F17" s="243" t="n">
        <v>0</v>
      </c>
      <c r="G17" s="243" t="n">
        <v>0</v>
      </c>
      <c r="H17" s="243" t="n">
        <v>0</v>
      </c>
      <c r="I17" s="243" t="n">
        <v>0</v>
      </c>
      <c r="J17" s="243" t="n">
        <v>0</v>
      </c>
      <c r="K17" s="243" t="n">
        <v>0</v>
      </c>
      <c r="L17" s="243" t="n">
        <v>0</v>
      </c>
      <c r="M17" s="220" t="inlineStr">
        <is>
          <t>X</t>
        </is>
      </c>
      <c r="N17" s="220" t="inlineStr">
        <is>
          <t>X</t>
        </is>
      </c>
      <c r="O17" s="220" t="inlineStr">
        <is>
          <t>X</t>
        </is>
      </c>
      <c r="P17" s="220" t="inlineStr">
        <is>
          <t>X</t>
        </is>
      </c>
      <c r="Q17" s="239" t="n">
        <v>8294.17</v>
      </c>
      <c r="R17" s="247" t="n">
        <v>0</v>
      </c>
      <c r="S17" s="247" t="n">
        <v>0.25</v>
      </c>
      <c r="T17" s="243" t="n">
        <v>2073.54</v>
      </c>
      <c r="U17" s="243" t="n">
        <v>134.78</v>
      </c>
      <c r="V17" s="220" t="n">
        <v>0</v>
      </c>
      <c r="W17" s="243" t="n">
        <v>134.78</v>
      </c>
    </row>
    <row r="18" ht="15" customHeight="1" s="132">
      <c r="A18" t="inlineStr">
        <is>
          <t>A6</t>
        </is>
      </c>
      <c r="B18" s="233" t="n"/>
      <c r="C18" s="108" t="n">
        <v>6</v>
      </c>
      <c r="D18" s="237" t="n">
        <v>45474</v>
      </c>
      <c r="E18" s="243" t="n">
        <v>0</v>
      </c>
      <c r="F18" s="243" t="n">
        <v>0</v>
      </c>
      <c r="G18" s="243" t="n">
        <v>0</v>
      </c>
      <c r="H18" s="243" t="n">
        <v>0</v>
      </c>
      <c r="I18" s="243" t="n">
        <v>0</v>
      </c>
      <c r="J18" s="243" t="n">
        <v>0</v>
      </c>
      <c r="K18" s="243" t="n">
        <v>0</v>
      </c>
      <c r="L18" s="220" t="inlineStr">
        <is>
          <t>X</t>
        </is>
      </c>
      <c r="M18" s="220" t="inlineStr">
        <is>
          <t>X</t>
        </is>
      </c>
      <c r="N18" s="220" t="inlineStr">
        <is>
          <t>X</t>
        </is>
      </c>
      <c r="O18" s="220" t="inlineStr">
        <is>
          <t>X</t>
        </is>
      </c>
      <c r="P18" s="220" t="inlineStr">
        <is>
          <t>X</t>
        </is>
      </c>
      <c r="Q18" s="239" t="n">
        <v>10197.48</v>
      </c>
      <c r="R18" s="247" t="n">
        <v>0</v>
      </c>
      <c r="S18" s="247" t="n">
        <v>0.25</v>
      </c>
      <c r="T18" s="243" t="n">
        <v>2549.37</v>
      </c>
      <c r="U18" s="243" t="n">
        <v>165.45</v>
      </c>
      <c r="V18" s="220" t="n">
        <v>0</v>
      </c>
      <c r="W18" s="243" t="n">
        <v>165.45</v>
      </c>
    </row>
    <row r="19" ht="15" customHeight="1" s="132">
      <c r="A19" t="inlineStr">
        <is>
          <t>A7</t>
        </is>
      </c>
      <c r="B19" s="233" t="n"/>
      <c r="C19" s="108" t="n">
        <v>7</v>
      </c>
      <c r="D19" s="237" t="n">
        <v>45566</v>
      </c>
      <c r="E19" s="243" t="n">
        <v>0</v>
      </c>
      <c r="F19" s="243" t="n">
        <v>0</v>
      </c>
      <c r="G19" s="243" t="n">
        <v>0</v>
      </c>
      <c r="H19" s="243" t="n">
        <v>0</v>
      </c>
      <c r="I19" s="243" t="n">
        <v>0</v>
      </c>
      <c r="J19" s="243" t="n">
        <v>0</v>
      </c>
      <c r="K19" s="220" t="inlineStr">
        <is>
          <t>X</t>
        </is>
      </c>
      <c r="L19" s="220" t="inlineStr">
        <is>
          <t>X</t>
        </is>
      </c>
      <c r="M19" s="220" t="inlineStr">
        <is>
          <t>X</t>
        </is>
      </c>
      <c r="N19" s="220" t="inlineStr">
        <is>
          <t>X</t>
        </is>
      </c>
      <c r="O19" s="220" t="inlineStr">
        <is>
          <t>X</t>
        </is>
      </c>
      <c r="P19" s="220" t="inlineStr">
        <is>
          <t>X</t>
        </is>
      </c>
      <c r="Q19" s="239" t="n">
        <v>11842.36</v>
      </c>
      <c r="R19" s="247" t="n">
        <v>0</v>
      </c>
      <c r="S19" s="247" t="n">
        <v>0.25</v>
      </c>
      <c r="T19" s="243" t="n">
        <v>2960.59</v>
      </c>
      <c r="U19" s="243" t="n">
        <v>246.03</v>
      </c>
      <c r="V19" s="220" t="n">
        <v>0</v>
      </c>
      <c r="W19" s="243" t="n">
        <v>246.03</v>
      </c>
    </row>
    <row r="20" ht="15" customHeight="1" s="132">
      <c r="A20" t="inlineStr">
        <is>
          <t>A8</t>
        </is>
      </c>
      <c r="B20" s="233" t="n"/>
      <c r="C20" s="108" t="n">
        <v>8</v>
      </c>
      <c r="D20" s="237" t="n">
        <v>45658</v>
      </c>
      <c r="E20" s="243" t="n">
        <v>0</v>
      </c>
      <c r="F20" s="243" t="n">
        <v>0</v>
      </c>
      <c r="G20" s="243" t="n">
        <v>0</v>
      </c>
      <c r="H20" s="243" t="n">
        <v>0</v>
      </c>
      <c r="I20" s="243" t="n">
        <v>0</v>
      </c>
      <c r="J20" s="220" t="inlineStr">
        <is>
          <t>X</t>
        </is>
      </c>
      <c r="K20" s="220" t="inlineStr">
        <is>
          <t>X</t>
        </is>
      </c>
      <c r="L20" s="220" t="inlineStr">
        <is>
          <t>X</t>
        </is>
      </c>
      <c r="M20" s="220" t="inlineStr">
        <is>
          <t>X</t>
        </is>
      </c>
      <c r="N20" s="220" t="inlineStr">
        <is>
          <t>X</t>
        </is>
      </c>
      <c r="O20" s="220" t="inlineStr">
        <is>
          <t>X</t>
        </is>
      </c>
      <c r="P20" s="220" t="inlineStr">
        <is>
          <t>X</t>
        </is>
      </c>
      <c r="Q20" s="239" t="n">
        <v>13195.49</v>
      </c>
      <c r="R20" s="247" t="n">
        <v>0</v>
      </c>
      <c r="S20" s="247" t="n">
        <v>0.25</v>
      </c>
      <c r="T20" s="243" t="n">
        <v>3298.87</v>
      </c>
      <c r="U20" s="243" t="n">
        <v>305.48</v>
      </c>
      <c r="V20" s="220" t="n">
        <v>0</v>
      </c>
      <c r="W20" s="243" t="n">
        <v>305.48</v>
      </c>
    </row>
    <row r="21" ht="15" customHeight="1" s="132">
      <c r="A21" t="inlineStr">
        <is>
          <t>A9</t>
        </is>
      </c>
      <c r="B21" s="233" t="n"/>
      <c r="C21" s="108" t="n">
        <v>9</v>
      </c>
      <c r="D21" s="237" t="n">
        <v>45748</v>
      </c>
      <c r="E21" s="243" t="n">
        <v>0</v>
      </c>
      <c r="F21" s="243" t="n">
        <v>0</v>
      </c>
      <c r="G21" s="243" t="n">
        <v>0</v>
      </c>
      <c r="H21" s="243" t="n">
        <v>0</v>
      </c>
      <c r="I21" s="220" t="inlineStr">
        <is>
          <t>X</t>
        </is>
      </c>
      <c r="J21" s="220" t="inlineStr">
        <is>
          <t>X</t>
        </is>
      </c>
      <c r="K21" s="220" t="inlineStr">
        <is>
          <t>X</t>
        </is>
      </c>
      <c r="L21" s="220" t="inlineStr">
        <is>
          <t>X</t>
        </is>
      </c>
      <c r="M21" s="220" t="inlineStr">
        <is>
          <t>X</t>
        </is>
      </c>
      <c r="N21" s="220" t="inlineStr">
        <is>
          <t>X</t>
        </is>
      </c>
      <c r="O21" s="220" t="inlineStr">
        <is>
          <t>X</t>
        </is>
      </c>
      <c r="P21" s="220" t="inlineStr">
        <is>
          <t>X</t>
        </is>
      </c>
      <c r="Q21" s="239" t="n">
        <v>8586.379999999999</v>
      </c>
      <c r="R21" s="247" t="n">
        <v>0</v>
      </c>
      <c r="S21" s="247" t="n">
        <v>0.25</v>
      </c>
      <c r="T21" s="243" t="n">
        <v>2146.59</v>
      </c>
      <c r="U21" s="243" t="n">
        <v>229.04</v>
      </c>
      <c r="V21" s="220" t="n">
        <v>0</v>
      </c>
      <c r="W21" s="243" t="n">
        <v>229.04</v>
      </c>
    </row>
    <row r="22" ht="15" customHeight="1" s="132">
      <c r="A22" t="inlineStr">
        <is>
          <t>A10</t>
        </is>
      </c>
      <c r="B22" s="233" t="n"/>
      <c r="C22" s="108" t="n">
        <v>10</v>
      </c>
      <c r="D22" s="237" t="n">
        <v>45839</v>
      </c>
      <c r="E22" s="243" t="n">
        <v>0</v>
      </c>
      <c r="F22" s="243" t="n">
        <v>0</v>
      </c>
      <c r="G22" s="243" t="n">
        <v>0</v>
      </c>
      <c r="H22" s="220" t="inlineStr">
        <is>
          <t>X</t>
        </is>
      </c>
      <c r="I22" s="220" t="inlineStr">
        <is>
          <t>X</t>
        </is>
      </c>
      <c r="J22" s="220" t="inlineStr">
        <is>
          <t>X</t>
        </is>
      </c>
      <c r="K22" s="220" t="inlineStr">
        <is>
          <t>X</t>
        </is>
      </c>
      <c r="L22" s="220" t="inlineStr">
        <is>
          <t>X</t>
        </is>
      </c>
      <c r="M22" s="220" t="inlineStr">
        <is>
          <t>X</t>
        </is>
      </c>
      <c r="N22" s="220" t="inlineStr">
        <is>
          <t>X</t>
        </is>
      </c>
      <c r="O22" s="220" t="inlineStr">
        <is>
          <t>X</t>
        </is>
      </c>
      <c r="P22" s="220" t="inlineStr">
        <is>
          <t>X</t>
        </is>
      </c>
      <c r="Q22" s="239" t="n">
        <v>7038.7</v>
      </c>
      <c r="R22" s="247" t="n">
        <v>0</v>
      </c>
      <c r="S22" s="247" t="n">
        <v>0.25</v>
      </c>
      <c r="T22" s="243" t="n">
        <v>1759.67</v>
      </c>
      <c r="U22" s="243" t="n">
        <v>255.68</v>
      </c>
      <c r="V22" s="220" t="n">
        <v>3000</v>
      </c>
      <c r="W22" s="243" t="n">
        <v>0</v>
      </c>
    </row>
    <row r="23" ht="15" customHeight="1" s="132">
      <c r="A23" t="inlineStr">
        <is>
          <t>A11</t>
        </is>
      </c>
      <c r="B23" s="233" t="n"/>
      <c r="C23" s="108" t="n">
        <v>11</v>
      </c>
      <c r="D23" s="237" t="n">
        <v>45931</v>
      </c>
      <c r="E23" s="243" t="n">
        <v>0</v>
      </c>
      <c r="F23" s="243" t="n">
        <v>0</v>
      </c>
      <c r="G23" s="220" t="inlineStr">
        <is>
          <t>X</t>
        </is>
      </c>
      <c r="H23" s="220" t="inlineStr">
        <is>
          <t>X</t>
        </is>
      </c>
      <c r="I23" s="220" t="inlineStr">
        <is>
          <t>X</t>
        </is>
      </c>
      <c r="J23" s="220" t="inlineStr">
        <is>
          <t>X</t>
        </is>
      </c>
      <c r="K23" s="220" t="inlineStr">
        <is>
          <t>X</t>
        </is>
      </c>
      <c r="L23" s="220" t="inlineStr">
        <is>
          <t>X</t>
        </is>
      </c>
      <c r="M23" s="220" t="inlineStr">
        <is>
          <t>X</t>
        </is>
      </c>
      <c r="N23" s="220" t="inlineStr">
        <is>
          <t>X</t>
        </is>
      </c>
      <c r="O23" s="220" t="inlineStr">
        <is>
          <t>X</t>
        </is>
      </c>
      <c r="P23" s="220" t="inlineStr">
        <is>
          <t>X</t>
        </is>
      </c>
      <c r="Q23" s="239" t="n">
        <v>7278.19</v>
      </c>
      <c r="R23" s="247" t="n">
        <v>0</v>
      </c>
      <c r="S23" s="247" t="n">
        <v>0.25</v>
      </c>
      <c r="T23" s="243" t="n">
        <v>1819.55</v>
      </c>
      <c r="U23" s="243" t="n">
        <v>902.6799999999999</v>
      </c>
      <c r="V23" s="220" t="n">
        <v>0</v>
      </c>
      <c r="W23" s="243" t="n">
        <v>902.6799999999999</v>
      </c>
    </row>
    <row r="24" ht="15" customHeight="1" s="132">
      <c r="A24" t="inlineStr">
        <is>
          <t>A12</t>
        </is>
      </c>
      <c r="B24" s="233" t="n"/>
      <c r="C24" s="108" t="n">
        <v>12</v>
      </c>
      <c r="D24" s="237" t="n">
        <v>46023</v>
      </c>
      <c r="E24" s="243" t="n">
        <v>0</v>
      </c>
      <c r="F24" s="220" t="inlineStr">
        <is>
          <t>X</t>
        </is>
      </c>
      <c r="G24" s="220" t="inlineStr">
        <is>
          <t>X</t>
        </is>
      </c>
      <c r="H24" s="220" t="inlineStr">
        <is>
          <t>X</t>
        </is>
      </c>
      <c r="I24" s="220" t="inlineStr">
        <is>
          <t>X</t>
        </is>
      </c>
      <c r="J24" s="220" t="inlineStr">
        <is>
          <t>X</t>
        </is>
      </c>
      <c r="K24" s="220" t="inlineStr">
        <is>
          <t>X</t>
        </is>
      </c>
      <c r="L24" s="220" t="inlineStr">
        <is>
          <t>X</t>
        </is>
      </c>
      <c r="M24" s="220" t="inlineStr">
        <is>
          <t>X</t>
        </is>
      </c>
      <c r="N24" s="220" t="inlineStr">
        <is>
          <t>X</t>
        </is>
      </c>
      <c r="O24" s="220" t="inlineStr">
        <is>
          <t>X</t>
        </is>
      </c>
      <c r="P24" s="220" t="inlineStr">
        <is>
          <t>X</t>
        </is>
      </c>
      <c r="Q24" s="241" t="n">
        <v>16516.91</v>
      </c>
      <c r="R24" s="247" t="n">
        <v>0</v>
      </c>
      <c r="S24" s="247" t="n">
        <v>0.25</v>
      </c>
      <c r="T24" s="243" t="n">
        <v>4129.23</v>
      </c>
      <c r="U24" s="243" t="n">
        <v>3517.28</v>
      </c>
      <c r="V24" s="220" t="n">
        <v>0</v>
      </c>
      <c r="W24" s="243" t="n">
        <v>3517.28</v>
      </c>
    </row>
    <row r="25" ht="106.8" customHeight="1" s="132">
      <c r="A25" t="inlineStr">
        <is>
          <t>A13</t>
        </is>
      </c>
      <c r="B25" s="194" t="inlineStr">
        <is>
          <t>Zərərlərin baş verməsi rübləri ərzində baş vermiş və zərərlərin ödənilməsi (inkişafı) rübünün sonunadək ödənilmiş zərərlərin məcmu məbləği</t>
        </is>
      </c>
      <c r="C25" s="228" t="n"/>
      <c r="D25" s="112" t="inlineStr">
        <is>
          <t>(Н+1)</t>
        </is>
      </c>
      <c r="E25" s="245" t="n">
        <v>0</v>
      </c>
      <c r="F25" s="245" t="n">
        <v>0</v>
      </c>
      <c r="G25" s="245" t="n">
        <v>0</v>
      </c>
      <c r="H25" s="245" t="n">
        <v>0</v>
      </c>
      <c r="I25" s="245" t="n">
        <v>0</v>
      </c>
      <c r="J25" s="245" t="n">
        <v>0</v>
      </c>
      <c r="K25" s="245" t="n">
        <v>0</v>
      </c>
      <c r="L25" s="245" t="n">
        <v>0</v>
      </c>
      <c r="M25" s="245" t="n">
        <v>0</v>
      </c>
      <c r="N25" s="245" t="n">
        <v>0</v>
      </c>
      <c r="O25" s="245" t="n">
        <v>0</v>
      </c>
      <c r="P25" s="245" t="n">
        <v>0</v>
      </c>
      <c r="Q25" s="111" t="inlineStr">
        <is>
          <t>X</t>
        </is>
      </c>
      <c r="R25" s="111" t="inlineStr">
        <is>
          <t>X</t>
        </is>
      </c>
      <c r="S25" s="111" t="inlineStr">
        <is>
          <t>X</t>
        </is>
      </c>
      <c r="T25" s="111" t="inlineStr">
        <is>
          <t>X</t>
        </is>
      </c>
      <c r="U25" s="111" t="inlineStr">
        <is>
          <t>X</t>
        </is>
      </c>
      <c r="V25" s="111" t="inlineStr">
        <is>
          <t>X</t>
        </is>
      </c>
      <c r="W25" s="111" t="inlineStr">
        <is>
          <t>X</t>
        </is>
      </c>
    </row>
    <row r="26" ht="39.6" customHeight="1" s="132">
      <c r="A26" t="inlineStr">
        <is>
          <t>A14</t>
        </is>
      </c>
      <c r="B26" s="194" t="inlineStr">
        <is>
          <t>Zərərlərin baş verməsi rübləri (axırınçı rüb istisna olmaqla) ərzində baş vermiş və zərərlərin ödənilməsi (inkişafı) rübünün sonunadək ödənilmiş zərərlərin məcmu məbləği</t>
        </is>
      </c>
      <c r="C26" s="228" t="n"/>
      <c r="D26" s="112" t="inlineStr">
        <is>
          <t>(Н+2)</t>
        </is>
      </c>
      <c r="E26" s="243" t="n">
        <v>0</v>
      </c>
      <c r="F26" s="243" t="n">
        <v>0</v>
      </c>
      <c r="G26" s="243" t="n">
        <v>0</v>
      </c>
      <c r="H26" s="243" t="n">
        <v>0</v>
      </c>
      <c r="I26" s="243" t="n">
        <v>0</v>
      </c>
      <c r="J26" s="243" t="n">
        <v>0</v>
      </c>
      <c r="K26" s="243" t="n">
        <v>0</v>
      </c>
      <c r="L26" s="243" t="n">
        <v>0</v>
      </c>
      <c r="M26" s="243" t="n">
        <v>0</v>
      </c>
      <c r="N26" s="243" t="n">
        <v>0</v>
      </c>
      <c r="O26" s="243" t="n">
        <v>0</v>
      </c>
      <c r="P26" s="111" t="inlineStr">
        <is>
          <t>X</t>
        </is>
      </c>
      <c r="Q26" s="111" t="inlineStr">
        <is>
          <t>X</t>
        </is>
      </c>
      <c r="R26" s="111" t="inlineStr">
        <is>
          <t>X</t>
        </is>
      </c>
      <c r="S26" s="111" t="inlineStr">
        <is>
          <t>X</t>
        </is>
      </c>
      <c r="T26" s="111" t="inlineStr">
        <is>
          <t>X</t>
        </is>
      </c>
      <c r="U26" s="111" t="inlineStr">
        <is>
          <t>X</t>
        </is>
      </c>
      <c r="V26" s="111" t="inlineStr">
        <is>
          <t>X</t>
        </is>
      </c>
      <c r="W26" s="111" t="inlineStr">
        <is>
          <t>X</t>
        </is>
      </c>
    </row>
    <row r="27" ht="37.8" customHeight="1" s="132">
      <c r="A27" t="inlineStr">
        <is>
          <t>A15</t>
        </is>
      </c>
      <c r="B27" s="194" t="inlineStr">
        <is>
          <t xml:space="preserve">Zərərlərin inkişafı əmsalları </t>
        </is>
      </c>
      <c r="C27" s="228" t="n"/>
      <c r="D27" s="112" t="inlineStr">
        <is>
          <t>(Н+3)</t>
        </is>
      </c>
      <c r="E27" s="248" t="n">
        <v>3.4011</v>
      </c>
      <c r="F27" s="248" t="n">
        <v>1.6962</v>
      </c>
      <c r="G27" s="248" t="n">
        <v>1.0451</v>
      </c>
      <c r="H27" s="248" t="n">
        <v>1.0158</v>
      </c>
      <c r="I27" s="248" t="n">
        <v>1.0105</v>
      </c>
      <c r="J27" s="248" t="n">
        <v>1.0199</v>
      </c>
      <c r="K27" s="248" t="n">
        <v>0.9999</v>
      </c>
      <c r="L27" s="248" t="n">
        <v>1.0699</v>
      </c>
      <c r="M27" s="248" t="n">
        <v>0.9999</v>
      </c>
      <c r="N27" s="248" t="n">
        <v>0.9997</v>
      </c>
      <c r="O27" s="248" t="n">
        <v>1</v>
      </c>
      <c r="P27" s="111" t="n">
        <v>1</v>
      </c>
      <c r="Q27" s="111" t="inlineStr">
        <is>
          <t>X</t>
        </is>
      </c>
      <c r="R27" s="111" t="inlineStr">
        <is>
          <t>X</t>
        </is>
      </c>
      <c r="S27" s="111" t="inlineStr">
        <is>
          <t>X</t>
        </is>
      </c>
      <c r="T27" s="111" t="inlineStr">
        <is>
          <t>X</t>
        </is>
      </c>
      <c r="U27" s="111" t="inlineStr">
        <is>
          <t>X</t>
        </is>
      </c>
      <c r="V27" s="111" t="inlineStr">
        <is>
          <t>X</t>
        </is>
      </c>
      <c r="W27" s="111" t="inlineStr">
        <is>
          <t>X</t>
        </is>
      </c>
    </row>
    <row r="28" ht="53.4" customHeight="1" s="132">
      <c r="A28" t="inlineStr">
        <is>
          <t>A16</t>
        </is>
      </c>
      <c r="B28" s="194" t="inlineStr">
        <is>
          <t xml:space="preserve">Zərərlərin inkişafı amilləri </t>
        </is>
      </c>
      <c r="C28" s="228" t="n"/>
      <c r="D28" s="112" t="inlineStr">
        <is>
          <t>(Н+4)</t>
        </is>
      </c>
      <c r="E28" s="248" t="n">
        <v>6.7497</v>
      </c>
      <c r="F28" s="248" t="n">
        <v>1.9846</v>
      </c>
      <c r="G28" s="248" t="n">
        <v>1.17</v>
      </c>
      <c r="H28" s="248" t="n">
        <v>1.1195</v>
      </c>
      <c r="I28" s="248" t="n">
        <v>1.1021</v>
      </c>
      <c r="J28" s="248" t="n">
        <v>1.0906</v>
      </c>
      <c r="K28" s="248" t="n">
        <v>1.0694</v>
      </c>
      <c r="L28" s="248" t="n">
        <v>1.0695</v>
      </c>
      <c r="M28" s="248" t="n">
        <v>0.9996</v>
      </c>
      <c r="N28" s="248" t="n">
        <v>0.9997</v>
      </c>
      <c r="O28" s="248" t="n">
        <v>1</v>
      </c>
      <c r="P28" s="111" t="n">
        <v>1</v>
      </c>
      <c r="Q28" s="111" t="inlineStr">
        <is>
          <t>X</t>
        </is>
      </c>
      <c r="R28" s="111" t="inlineStr">
        <is>
          <t>X</t>
        </is>
      </c>
      <c r="S28" s="111" t="inlineStr">
        <is>
          <t>X</t>
        </is>
      </c>
      <c r="T28" s="111" t="inlineStr">
        <is>
          <t>X</t>
        </is>
      </c>
      <c r="U28" s="111" t="inlineStr">
        <is>
          <t>X</t>
        </is>
      </c>
      <c r="V28" s="111" t="inlineStr">
        <is>
          <t>X</t>
        </is>
      </c>
      <c r="W28" s="111" t="inlineStr">
        <is>
          <t>X</t>
        </is>
      </c>
    </row>
    <row r="29" ht="45" customHeight="1" s="132">
      <c r="A29" t="inlineStr">
        <is>
          <t>A17</t>
        </is>
      </c>
      <c r="B29" s="194" t="inlineStr">
        <is>
          <t>Geçikmə amilləri</t>
        </is>
      </c>
      <c r="C29" s="228" t="n"/>
      <c r="D29" s="112" t="inlineStr">
        <is>
          <t>(Н+5)</t>
        </is>
      </c>
      <c r="E29" s="248" t="n">
        <v>0.1482</v>
      </c>
      <c r="F29" s="248" t="n">
        <v>0.5039</v>
      </c>
      <c r="G29" s="248" t="n">
        <v>0.8547</v>
      </c>
      <c r="H29" s="248" t="n">
        <v>0.8933</v>
      </c>
      <c r="I29" s="248" t="n">
        <v>0.9074</v>
      </c>
      <c r="J29" s="248" t="n">
        <v>0.9169</v>
      </c>
      <c r="K29" s="248" t="n">
        <v>0.9351</v>
      </c>
      <c r="L29" s="248" t="n">
        <v>0.9350000000000001</v>
      </c>
      <c r="M29" s="248" t="n">
        <v>1.0004</v>
      </c>
      <c r="N29" s="248" t="n">
        <v>1.0003</v>
      </c>
      <c r="O29" s="248" t="n">
        <v>1</v>
      </c>
      <c r="P29" s="111" t="n">
        <v>1</v>
      </c>
      <c r="Q29" s="111" t="inlineStr">
        <is>
          <t>X</t>
        </is>
      </c>
      <c r="R29" s="111" t="inlineStr">
        <is>
          <t>X</t>
        </is>
      </c>
      <c r="S29" s="111" t="inlineStr">
        <is>
          <t>X</t>
        </is>
      </c>
      <c r="T29" s="111" t="inlineStr">
        <is>
          <t>X</t>
        </is>
      </c>
      <c r="U29" s="111" t="inlineStr">
        <is>
          <t>X</t>
        </is>
      </c>
      <c r="V29" s="111" t="inlineStr">
        <is>
          <t>X</t>
        </is>
      </c>
      <c r="W29" s="111" t="inlineStr">
        <is>
          <t>X</t>
        </is>
      </c>
    </row>
    <row r="30" ht="58.8" customHeight="1" s="132">
      <c r="A30" t="inlineStr">
        <is>
          <t>A18</t>
        </is>
      </c>
      <c r="B30" s="194" t="inlineStr">
        <is>
          <t>Baş vermiş, lakin bildirilməmiş zərərlərin məbləği</t>
        </is>
      </c>
      <c r="C30" s="228" t="n"/>
      <c r="D30" s="112" t="inlineStr">
        <is>
          <t>(Н+6)</t>
        </is>
      </c>
      <c r="E30" s="111" t="inlineStr">
        <is>
          <t>X</t>
        </is>
      </c>
      <c r="F30" s="111" t="inlineStr">
        <is>
          <t>X</t>
        </is>
      </c>
      <c r="G30" s="111" t="inlineStr">
        <is>
          <t>X</t>
        </is>
      </c>
      <c r="H30" s="111" t="inlineStr">
        <is>
          <t>X</t>
        </is>
      </c>
      <c r="I30" s="111" t="inlineStr">
        <is>
          <t>X</t>
        </is>
      </c>
      <c r="J30" s="111" t="inlineStr">
        <is>
          <t>X</t>
        </is>
      </c>
      <c r="K30" s="111" t="inlineStr">
        <is>
          <t>X</t>
        </is>
      </c>
      <c r="L30" s="111" t="inlineStr">
        <is>
          <t>X</t>
        </is>
      </c>
      <c r="M30" s="111" t="inlineStr">
        <is>
          <t>X</t>
        </is>
      </c>
      <c r="N30" s="111" t="inlineStr">
        <is>
          <t>X</t>
        </is>
      </c>
      <c r="O30" s="111" t="inlineStr">
        <is>
          <t>X</t>
        </is>
      </c>
      <c r="P30" s="111" t="inlineStr">
        <is>
          <t>X</t>
        </is>
      </c>
      <c r="Q30" s="111" t="inlineStr">
        <is>
          <t>X</t>
        </is>
      </c>
      <c r="R30" s="111" t="inlineStr">
        <is>
          <t>X</t>
        </is>
      </c>
      <c r="S30" s="111" t="inlineStr">
        <is>
          <t>X</t>
        </is>
      </c>
      <c r="T30" s="111" t="inlineStr">
        <is>
          <t>X</t>
        </is>
      </c>
      <c r="U30" s="111" t="inlineStr">
        <is>
          <t>X</t>
        </is>
      </c>
      <c r="V30" s="111" t="inlineStr">
        <is>
          <t>X</t>
        </is>
      </c>
      <c r="W30" s="245" t="n">
        <v>5500.74</v>
      </c>
    </row>
    <row r="31" ht="34.8" customHeight="1" s="132">
      <c r="A31" t="inlineStr">
        <is>
          <t>A19</t>
        </is>
      </c>
      <c r="B31" s="195" t="inlineStr">
        <is>
          <t>BVBZE-də təkrarsığortaçıların payının üçbucaq metodu ilə hesblanmış məbləği</t>
        </is>
      </c>
      <c r="C31" s="230" t="n"/>
      <c r="D31" s="112" t="inlineStr">
        <is>
          <t>(Н+7)</t>
        </is>
      </c>
      <c r="E31" s="111" t="inlineStr">
        <is>
          <t>X</t>
        </is>
      </c>
      <c r="F31" s="111" t="inlineStr">
        <is>
          <t>X</t>
        </is>
      </c>
      <c r="G31" s="111" t="inlineStr">
        <is>
          <t>X</t>
        </is>
      </c>
      <c r="H31" s="111" t="inlineStr">
        <is>
          <t>X</t>
        </is>
      </c>
      <c r="I31" s="111" t="inlineStr">
        <is>
          <t>X</t>
        </is>
      </c>
      <c r="J31" s="111" t="inlineStr">
        <is>
          <t>X</t>
        </is>
      </c>
      <c r="K31" s="111" t="inlineStr">
        <is>
          <t>X</t>
        </is>
      </c>
      <c r="L31" s="111" t="inlineStr">
        <is>
          <t>X</t>
        </is>
      </c>
      <c r="M31" s="111" t="inlineStr">
        <is>
          <t>X</t>
        </is>
      </c>
      <c r="N31" s="111" t="inlineStr">
        <is>
          <t>X</t>
        </is>
      </c>
      <c r="O31" s="111" t="inlineStr">
        <is>
          <t>X</t>
        </is>
      </c>
      <c r="P31" s="111" t="inlineStr">
        <is>
          <t>X</t>
        </is>
      </c>
      <c r="Q31" s="111" t="inlineStr">
        <is>
          <t>X</t>
        </is>
      </c>
      <c r="R31" s="111" t="inlineStr">
        <is>
          <t>X</t>
        </is>
      </c>
      <c r="S31" s="111" t="inlineStr">
        <is>
          <t>X</t>
        </is>
      </c>
      <c r="T31" s="111" t="inlineStr">
        <is>
          <t>X</t>
        </is>
      </c>
      <c r="U31" s="111" t="inlineStr">
        <is>
          <t>X</t>
        </is>
      </c>
      <c r="V31" s="111" t="inlineStr">
        <is>
          <t>X</t>
        </is>
      </c>
      <c r="W31" s="245" t="n">
        <v>5665.76</v>
      </c>
    </row>
    <row r="32">
      <c r="B32" s="114" t="inlineStr">
        <is>
          <t>QEYD: 1. x(i,j) məbləğləri "Zərərlərin uçotu" jurnalına əsasən hesablanır. 2. Kodu N+6 olan sətir üzrə (N+9)-cu sütunda baş vermiş, lakin bildirilməmiş zərərlərin məcmu məbləği göstərilir. 3. Kodu N+7 olan sətir üzrə (N+9)-cu sütunda baş vermiş, lakin bildirilməmiş zərərlərin məcmu məbləğinin 1,03-ə vurulmasından alınan məbləğ göstərilir.</t>
        </is>
      </c>
      <c r="C32" s="114" t="n"/>
      <c r="D32" s="114" t="n"/>
      <c r="E32" s="115" t="n"/>
      <c r="F32" s="115" t="n"/>
      <c r="G32" s="115" t="n"/>
      <c r="H32" s="115" t="n"/>
      <c r="I32" s="115" t="n"/>
      <c r="J32" s="115" t="n"/>
      <c r="K32" s="115" t="n"/>
      <c r="L32" s="115" t="n"/>
      <c r="M32" s="115" t="n"/>
      <c r="N32" s="115" t="n"/>
      <c r="O32" s="115" t="n"/>
      <c r="P32" s="115" t="n"/>
      <c r="Q32" s="115" t="n"/>
      <c r="R32" s="115" t="n"/>
      <c r="S32" s="115" t="n"/>
      <c r="T32" s="115" t="n"/>
      <c r="U32" s="115" t="n"/>
      <c r="V32" s="115" t="n"/>
      <c r="W32" s="115" t="n"/>
    </row>
    <row r="33" ht="15.6" customHeight="1" s="132">
      <c r="B33" s="116" t="inlineStr">
        <is>
          <t xml:space="preserve">          İdarə heyətinin sədri ______________</t>
        </is>
      </c>
      <c r="C33" s="117" t="n"/>
      <c r="D33" s="98" t="n"/>
      <c r="E33" s="118" t="n"/>
      <c r="F33" s="118" t="n"/>
      <c r="G33" s="118" t="n"/>
      <c r="H33" s="118" t="n"/>
      <c r="I33" s="118" t="n"/>
      <c r="J33" s="118" t="n"/>
      <c r="K33" s="118" t="n"/>
      <c r="L33" s="118" t="n"/>
      <c r="M33" s="118" t="inlineStr">
        <is>
          <t>M.Y.</t>
        </is>
      </c>
      <c r="N33" s="98" t="n"/>
      <c r="O33" s="119" t="n"/>
      <c r="P33" s="119" t="inlineStr">
        <is>
          <t xml:space="preserve">          Baş mühasib ____________________ </t>
        </is>
      </c>
      <c r="Q33" s="119" t="n"/>
      <c r="R33" s="119" t="n"/>
      <c r="S33" s="119" t="n"/>
      <c r="T33" s="119" t="n"/>
      <c r="U33" s="119" t="n"/>
      <c r="V33" s="119" t="n"/>
      <c r="W33" s="119" t="n"/>
    </row>
    <row r="34">
      <c r="B34" s="130" t="n"/>
      <c r="C34" s="130" t="n"/>
      <c r="D34" s="130" t="n"/>
      <c r="E34" s="130" t="n"/>
      <c r="F34" s="130" t="n"/>
      <c r="G34" s="130" t="n"/>
      <c r="H34" s="130" t="n"/>
      <c r="I34" s="130" t="n"/>
      <c r="J34" s="130" t="n"/>
      <c r="K34" s="130" t="n"/>
      <c r="L34" s="130" t="n"/>
      <c r="M34" s="130" t="n"/>
      <c r="N34" s="130" t="n"/>
      <c r="O34" s="130" t="n"/>
      <c r="P34" s="130" t="n"/>
      <c r="Q34" s="130" t="n"/>
      <c r="R34" s="130" t="n"/>
      <c r="S34" s="130" t="n"/>
      <c r="T34" s="130" t="n"/>
      <c r="U34" s="130" t="n"/>
      <c r="V34" s="130" t="n"/>
      <c r="W34" s="130" t="n"/>
    </row>
  </sheetData>
  <mergeCells count="24">
    <mergeCell ref="E1:M1"/>
    <mergeCell ref="E10:P10"/>
    <mergeCell ref="B25:C25"/>
    <mergeCell ref="B10:C11"/>
    <mergeCell ref="B31:C31"/>
    <mergeCell ref="B27:C27"/>
    <mergeCell ref="V10:V11"/>
    <mergeCell ref="B12:C12"/>
    <mergeCell ref="Q10:Q11"/>
    <mergeCell ref="B2:C2"/>
    <mergeCell ref="S10:S11"/>
    <mergeCell ref="B5:W5"/>
    <mergeCell ref="B29:C29"/>
    <mergeCell ref="B3:W3"/>
    <mergeCell ref="B28:C28"/>
    <mergeCell ref="U10:U11"/>
    <mergeCell ref="W10:W11"/>
    <mergeCell ref="B30:C30"/>
    <mergeCell ref="D10:D11"/>
    <mergeCell ref="B13:B24"/>
    <mergeCell ref="B26:C26"/>
    <mergeCell ref="R10:R11"/>
    <mergeCell ref="T10:T11"/>
    <mergeCell ref="T1:W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25"/>
  <sheetViews>
    <sheetView workbookViewId="0">
      <selection activeCell="D7" sqref="D7"/>
    </sheetView>
  </sheetViews>
  <sheetFormatPr baseColWidth="8" defaultRowHeight="14.4"/>
  <cols>
    <col width="8.88671875" customWidth="1" style="132" min="1" max="1"/>
    <col width="8" customWidth="1" style="132" min="2" max="2"/>
    <col width="61.21875" customWidth="1" style="132" min="3" max="3"/>
    <col width="18.21875" customWidth="1" style="132" min="4" max="5"/>
    <col width="8.88671875" customWidth="1" style="132" min="6" max="16384"/>
  </cols>
  <sheetData>
    <row r="1" ht="46.2" customHeight="1" s="132">
      <c r="B1" s="27" t="n"/>
      <c r="C1" s="27" t="n"/>
      <c r="D1" s="174" t="inlineStr">
        <is>
          <t>«Həyat sığortası və qeyri-həyat sığortası
üzrə sığorta ehtiyatlarının formalaşdırılması Qaydaları»na Əlavə № 3</t>
        </is>
      </c>
    </row>
    <row r="2" ht="18" customHeight="1" s="132">
      <c r="B2" s="27" t="n"/>
      <c r="C2" s="139" t="inlineStr">
        <is>
          <t>Forma № 8-9</t>
        </is>
      </c>
      <c r="D2" s="130" t="n"/>
      <c r="E2" s="130" t="n"/>
    </row>
    <row r="3" ht="40.8" customHeight="1" s="132">
      <c r="B3" s="27" t="n"/>
      <c r="C3" s="179" t="inlineStr">
        <is>
          <t>Baş vermiş, lakin bildirilməmiş zərərlər ehtiyatı</t>
        </is>
      </c>
      <c r="D3" s="27" t="n"/>
      <c r="E3" s="200" t="n"/>
    </row>
    <row r="4" ht="20.4" customHeight="1" s="132">
      <c r="C4" s="176" t="inlineStr">
        <is>
          <t>Ateshgah</t>
        </is>
      </c>
      <c r="D4" s="170" t="n"/>
      <c r="E4" s="170" t="n"/>
    </row>
    <row r="5" ht="17.4" customHeight="1" s="132">
      <c r="C5" s="177" t="inlineStr">
        <is>
          <t xml:space="preserve">    (sığortaçının (təkrarsığortaçının)  adı)</t>
        </is>
      </c>
      <c r="D5" s="101" t="n"/>
      <c r="E5" s="101" t="n"/>
    </row>
    <row r="6" ht="17.4" customHeight="1" s="132">
      <c r="C6" s="171" t="n"/>
      <c r="D6" s="12" t="inlineStr">
        <is>
          <t>01.01.2026</t>
        </is>
      </c>
      <c r="E6" s="11" t="inlineStr">
        <is>
          <t xml:space="preserve"> -cı il  tarixə</t>
        </is>
      </c>
    </row>
    <row r="7" ht="17.4" customHeight="1" s="132">
      <c r="B7" s="11" t="n"/>
    </row>
    <row r="8" ht="18" customHeight="1" s="132">
      <c r="B8" s="14" t="inlineStr">
        <is>
          <t>Sığortanın sinifi ____________________________</t>
        </is>
      </c>
      <c r="C8" s="219" t="inlineStr">
        <is>
          <t>(08)Yuk</t>
        </is>
      </c>
      <c r="D8" s="13" t="n"/>
      <c r="E8" s="13" t="n"/>
    </row>
    <row r="9" ht="17.4" customHeight="1" s="132">
      <c r="D9" s="13" t="n"/>
      <c r="E9" s="13" t="n"/>
    </row>
    <row r="10" ht="18" customHeight="1" s="132">
      <c r="B10" s="71" t="n"/>
      <c r="C10" s="71" t="n"/>
      <c r="D10" s="71" t="n"/>
      <c r="E10" s="71" t="n"/>
    </row>
    <row r="11" ht="34.8" customHeight="1" s="132">
      <c r="B11" s="17" t="inlineStr">
        <is>
          <t>Sıra №-si</t>
        </is>
      </c>
      <c r="C11" s="17" t="inlineStr">
        <is>
          <t>Göstəriciləri adı</t>
        </is>
      </c>
      <c r="D11" s="17" t="inlineStr">
        <is>
          <t>Sətrin kodu</t>
        </is>
      </c>
      <c r="E11" s="17" t="inlineStr">
        <is>
          <t>Məbləğ</t>
        </is>
      </c>
    </row>
    <row r="12" ht="17.4" customHeight="1" s="132">
      <c r="B12" s="140" t="inlineStr">
        <is>
          <t>I</t>
        </is>
      </c>
      <c r="C12" s="140" t="inlineStr">
        <is>
          <t>II</t>
        </is>
      </c>
      <c r="D12" s="140" t="inlineStr">
        <is>
          <t>III</t>
        </is>
      </c>
      <c r="E12" s="140" t="inlineStr">
        <is>
          <t>IV</t>
        </is>
      </c>
    </row>
    <row r="13" ht="36" customHeight="1" s="132">
      <c r="A13" t="inlineStr">
        <is>
          <t>A1</t>
        </is>
      </c>
      <c r="B13" s="141" t="n">
        <v>1</v>
      </c>
      <c r="C13" s="142" t="inlineStr">
        <is>
          <t>Hesabat tarixinə BVBZE-nin üçbucaq metodu ilə hesablanmış məbləği</t>
        </is>
      </c>
      <c r="D13" s="143" t="n">
        <v>1000</v>
      </c>
      <c r="E13" s="245" t="n">
        <v>14528.88</v>
      </c>
    </row>
    <row r="14" ht="18" customHeight="1" s="132">
      <c r="A14" t="inlineStr">
        <is>
          <t>A2</t>
        </is>
      </c>
      <c r="B14" s="144" t="n">
        <v>2</v>
      </c>
      <c r="C14" s="145" t="inlineStr">
        <is>
          <t>Hesabat tarixinə BTZE-nin 25 %-i</t>
        </is>
      </c>
      <c r="D14" s="146" t="n">
        <v>1100</v>
      </c>
      <c r="E14" s="243" t="n">
        <v>772.5</v>
      </c>
    </row>
    <row r="15" ht="36" customHeight="1" s="132">
      <c r="A15" t="inlineStr">
        <is>
          <t>A3</t>
        </is>
      </c>
      <c r="B15" s="141" t="n">
        <v>3</v>
      </c>
      <c r="C15" s="142" t="inlineStr">
        <is>
          <t>Hesabat tarixindən əvvəlki dörd rüb ərzində qazanılmış məcmu sığorta haqlarının 2,5 %-i</t>
        </is>
      </c>
      <c r="D15" s="29" t="n">
        <v>1200</v>
      </c>
      <c r="E15" s="243" t="n">
        <v>5651.53</v>
      </c>
    </row>
    <row r="16" ht="36" customHeight="1" s="132">
      <c r="A16" t="inlineStr">
        <is>
          <t>A4</t>
        </is>
      </c>
      <c r="B16" s="141" t="n">
        <v>4</v>
      </c>
      <c r="C16" s="142" t="inlineStr">
        <is>
          <t>Hesabat tarixinə BVBZE ("1000", "1100" və "1200"-dən böyük olanı)</t>
        </is>
      </c>
      <c r="D16" s="29" t="n">
        <v>1300</v>
      </c>
      <c r="E16" s="245" t="n">
        <v>14528.88</v>
      </c>
    </row>
    <row r="18" ht="76.8" customHeight="1" s="132">
      <c r="B18" s="213" t="inlineStr">
        <is>
          <t>Qeyd:                                                                                                                                                                                                             1. Kodu 1000 olan sətirdə 8-8 №-li Formanın yekun məbləği göstərilir.                                                                                                                                                                                                                                                          2. Kodu 1100 olan sətirdə 8-3 №-li Formanın yekun məbləğinin 25%-i göstərilir.                                                                                                                                                                                                               3. Kodu 1200 olan sətirdə 8-7 №-li Forma üzrə sonuncu 4 rüb ərzində qazanılmış məcmu sığorta haqlarının 5%-i göstərilir.</t>
        </is>
      </c>
    </row>
    <row r="19" ht="15.6" customHeight="1" s="132">
      <c r="B19" s="172" t="inlineStr">
        <is>
          <t>İdarə heyətinin sədri ____________________________       _____________</t>
        </is>
      </c>
    </row>
    <row r="20">
      <c r="B20" s="173" t="inlineStr">
        <is>
          <t xml:space="preserve">                                     (s.a.a)                                     (imza)</t>
        </is>
      </c>
    </row>
    <row r="21" ht="15.6" customHeight="1" s="132">
      <c r="B21" s="24" t="n"/>
      <c r="C21" s="130" t="n"/>
      <c r="D21" s="130" t="n"/>
      <c r="E21" s="130" t="n"/>
    </row>
    <row r="22" ht="15.6" customHeight="1" s="132">
      <c r="B22" s="172" t="inlineStr">
        <is>
          <t>Baş mühasib _______________________       _____________</t>
        </is>
      </c>
    </row>
    <row r="23">
      <c r="B23" s="173" t="inlineStr">
        <is>
          <t xml:space="preserve">                                    (s.a.a)                                      (imza)</t>
        </is>
      </c>
    </row>
    <row r="24" ht="18" customHeight="1" s="132">
      <c r="B24" s="130" t="n"/>
      <c r="C24" s="27" t="n"/>
      <c r="D24" s="26" t="inlineStr">
        <is>
          <t>M.Y.</t>
        </is>
      </c>
      <c r="E24" s="27" t="n"/>
    </row>
    <row r="25">
      <c r="B25" s="130" t="n"/>
      <c r="C25" s="130" t="n"/>
      <c r="D25" s="130" t="n"/>
      <c r="E25" s="130" t="n"/>
    </row>
  </sheetData>
  <mergeCells count="6">
    <mergeCell ref="B23:E23"/>
    <mergeCell ref="B18:E18"/>
    <mergeCell ref="D1:E1"/>
    <mergeCell ref="B19:E19"/>
    <mergeCell ref="B20:E20"/>
    <mergeCell ref="B22:E2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25"/>
  <sheetViews>
    <sheetView tabSelected="1" workbookViewId="0">
      <selection activeCell="D8" sqref="D8"/>
    </sheetView>
  </sheetViews>
  <sheetFormatPr baseColWidth="8" defaultRowHeight="14.4"/>
  <cols>
    <col width="8.88671875" customWidth="1" style="132" min="1" max="1"/>
    <col width="8" customWidth="1" style="132" min="2" max="2"/>
    <col width="61.21875" customWidth="1" style="132" min="3" max="3"/>
    <col width="18.21875" customWidth="1" style="132" min="4" max="5"/>
    <col width="8.88671875" customWidth="1" style="132" min="6" max="16384"/>
  </cols>
  <sheetData>
    <row r="1" ht="46.2" customHeight="1" s="132">
      <c r="B1" s="27" t="n"/>
      <c r="C1" s="27" t="n"/>
      <c r="D1" s="174" t="inlineStr">
        <is>
          <t>«Həyat sığortası və qeyri-həyat sığortası
üzrə sığorta ehtiyatlarının formalaşdırılması Qaydaları»na Əlavə № 3</t>
        </is>
      </c>
    </row>
    <row r="2" ht="18" customHeight="1" s="132">
      <c r="B2" s="27" t="inlineStr">
        <is>
          <t>Forma № 8-13</t>
        </is>
      </c>
      <c r="C2" s="139" t="n"/>
      <c r="D2" s="130" t="n"/>
      <c r="E2" s="130" t="n"/>
    </row>
    <row r="3" ht="40.8" customHeight="1" s="132">
      <c r="B3" s="27" t="n"/>
      <c r="C3" s="179" t="inlineStr">
        <is>
          <t>Baş vermiş, lakin bildirilməmiş zərərlər ehtiyatında təkrarsığortaçıların payı</t>
        </is>
      </c>
      <c r="D3" s="27" t="n"/>
      <c r="E3" s="200" t="n"/>
    </row>
    <row r="4" ht="20.4" customHeight="1" s="132">
      <c r="C4" s="176" t="inlineStr">
        <is>
          <t>Ateshgah</t>
        </is>
      </c>
      <c r="D4" s="170" t="n"/>
      <c r="E4" s="170" t="n"/>
    </row>
    <row r="5" ht="17.4" customHeight="1" s="132">
      <c r="C5" s="177" t="inlineStr">
        <is>
          <t xml:space="preserve">    (sığortaçının (təkrarsığortaçının)  adı)</t>
        </is>
      </c>
      <c r="D5" s="101" t="n"/>
      <c r="E5" s="101" t="n"/>
    </row>
    <row r="6" ht="17.4" customHeight="1" s="132">
      <c r="D6" s="12" t="inlineStr">
        <is>
          <t>01.01.2026</t>
        </is>
      </c>
      <c r="E6" s="11" t="inlineStr">
        <is>
          <t xml:space="preserve"> -cı il  tarixə</t>
        </is>
      </c>
    </row>
    <row r="7" ht="17.4" customHeight="1" s="132">
      <c r="B7" s="11" t="n"/>
    </row>
    <row r="8" ht="18" customHeight="1" s="132">
      <c r="B8" s="14" t="inlineStr">
        <is>
          <t>Sığortanın sinifi ____________________________</t>
        </is>
      </c>
      <c r="C8" s="219" t="inlineStr">
        <is>
          <t>(08)Yuk</t>
        </is>
      </c>
      <c r="D8" s="13" t="n"/>
      <c r="E8" s="13" t="n"/>
    </row>
    <row r="9" ht="17.4" customHeight="1" s="132">
      <c r="D9" s="13" t="n"/>
      <c r="E9" s="13" t="n"/>
    </row>
    <row r="10" ht="18" customHeight="1" s="132">
      <c r="B10" s="71" t="n"/>
      <c r="C10" s="71" t="n"/>
      <c r="D10" s="71" t="n"/>
      <c r="E10" s="71" t="n"/>
    </row>
    <row r="11" ht="34.8" customHeight="1" s="132">
      <c r="B11" s="17" t="inlineStr">
        <is>
          <t>Sıra №-si</t>
        </is>
      </c>
      <c r="C11" s="17" t="inlineStr">
        <is>
          <t>Göstəriciləri adı</t>
        </is>
      </c>
      <c r="D11" s="17" t="inlineStr">
        <is>
          <t>Sətrin kodu</t>
        </is>
      </c>
      <c r="E11" s="17" t="inlineStr">
        <is>
          <t>Məbləğ</t>
        </is>
      </c>
    </row>
    <row r="12" ht="17.4" customHeight="1" s="132">
      <c r="B12" s="140" t="inlineStr">
        <is>
          <t>I</t>
        </is>
      </c>
      <c r="C12" s="140" t="inlineStr">
        <is>
          <t>II</t>
        </is>
      </c>
      <c r="D12" s="140" t="inlineStr">
        <is>
          <t>III</t>
        </is>
      </c>
      <c r="E12" s="140" t="inlineStr">
        <is>
          <t>IV</t>
        </is>
      </c>
    </row>
    <row r="13" ht="36" customHeight="1" s="132">
      <c r="A13" t="inlineStr">
        <is>
          <t>A1</t>
        </is>
      </c>
      <c r="B13" s="141" t="n">
        <v>1</v>
      </c>
      <c r="C13" s="142" t="inlineStr">
        <is>
          <t>Hesabat tarixinə BVBZE-nin üçbucaq metodu ilə hesablanmış məbləği</t>
        </is>
      </c>
      <c r="D13" s="143" t="n">
        <v>2000</v>
      </c>
      <c r="E13" s="245" t="n">
        <v>5665.76</v>
      </c>
    </row>
    <row r="14" ht="18" customHeight="1" s="132">
      <c r="A14" t="inlineStr">
        <is>
          <t>A2</t>
        </is>
      </c>
      <c r="B14" s="144" t="n">
        <v>2</v>
      </c>
      <c r="C14" s="145" t="inlineStr">
        <is>
          <t>Hesabat tarixinə BTZE-nin 25 %-i</t>
        </is>
      </c>
      <c r="D14" s="146" t="n">
        <v>2100</v>
      </c>
      <c r="E14" s="243" t="n">
        <v>0</v>
      </c>
    </row>
    <row r="15" ht="36" customHeight="1" s="132">
      <c r="A15" t="inlineStr">
        <is>
          <t>A3</t>
        </is>
      </c>
      <c r="B15" s="141" t="n">
        <v>3</v>
      </c>
      <c r="C15" s="142" t="inlineStr">
        <is>
          <t>Hesabat tarixindən əvvəlki dörd rüb ərzində qazanılmış məcmu sığorta haqlarının 2,5 %-i</t>
        </is>
      </c>
      <c r="D15" s="29" t="n">
        <v>2200</v>
      </c>
      <c r="E15" s="243" t="n">
        <v>985.5</v>
      </c>
    </row>
    <row r="16" ht="36" customHeight="1" s="132">
      <c r="A16" t="inlineStr">
        <is>
          <t>A4</t>
        </is>
      </c>
      <c r="B16" s="141" t="n">
        <v>4</v>
      </c>
      <c r="C16" s="142" t="inlineStr">
        <is>
          <t>Hesabat tarixinə BVBZE ("1000", "1100" və "1200"-dən böyük olanı)</t>
        </is>
      </c>
      <c r="D16" s="29" t="n">
        <v>2300</v>
      </c>
      <c r="E16" s="245" t="n">
        <v>5665.76</v>
      </c>
    </row>
    <row r="18" ht="76.8" customHeight="1" s="132">
      <c r="B18" s="213" t="inlineStr">
        <is>
          <t>Qeyd:                                                                                                                                                                                                                  1. Kodu 2000 olan sətirdə 8-12 №-li Formanın yekun məbləği göstərilir.                                                                                                                                                                                                                     2. Kodu 2100 olan sətirdə 8-11 №-li Formanın yekun məbləğinin 25%-i göstərilir.                                                                                                                                                                                                              3. Kodu 2200 olan sətirdə 8-10 №-li Forma üzrə sonuncu 4 rüb ərzində qazanılmış məcmu təkrarsığorta haqlarının 5%-i göstərilir.</t>
        </is>
      </c>
    </row>
    <row r="19" ht="15.6" customHeight="1" s="132">
      <c r="B19" s="172" t="inlineStr">
        <is>
          <t>İdarə heyətinin sədri ____________________________       _____________</t>
        </is>
      </c>
    </row>
    <row r="20">
      <c r="B20" s="173" t="inlineStr">
        <is>
          <t xml:space="preserve">                                     (s.a.a)                                     (imza)</t>
        </is>
      </c>
    </row>
    <row r="21" ht="15.6" customHeight="1" s="132">
      <c r="B21" s="24" t="n"/>
      <c r="C21" s="130" t="n"/>
      <c r="D21" s="130" t="n"/>
      <c r="E21" s="130" t="n"/>
    </row>
    <row r="22" ht="15.6" customHeight="1" s="132">
      <c r="B22" s="172" t="inlineStr">
        <is>
          <t>Baş mühasib _______________________       _____________</t>
        </is>
      </c>
    </row>
    <row r="23">
      <c r="B23" s="173" t="inlineStr">
        <is>
          <t xml:space="preserve">                                    (s.a.a)                                      (imza)</t>
        </is>
      </c>
    </row>
    <row r="24" ht="18" customHeight="1" s="132">
      <c r="B24" s="130" t="n"/>
      <c r="C24" s="27" t="n"/>
      <c r="D24" s="26" t="inlineStr">
        <is>
          <t>M.Y.</t>
        </is>
      </c>
      <c r="E24" s="27" t="n"/>
    </row>
    <row r="25">
      <c r="B25" s="130" t="n"/>
      <c r="C25" s="130" t="n"/>
      <c r="D25" s="130" t="n"/>
      <c r="E25" s="130" t="n"/>
    </row>
  </sheetData>
  <mergeCells count="6">
    <mergeCell ref="B23:E23"/>
    <mergeCell ref="B18:E18"/>
    <mergeCell ref="D1:E1"/>
    <mergeCell ref="B19:E19"/>
    <mergeCell ref="B20:E20"/>
    <mergeCell ref="B22:E2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29"/>
  <sheetViews>
    <sheetView workbookViewId="0">
      <selection activeCell="F9" sqref="F9"/>
    </sheetView>
  </sheetViews>
  <sheetFormatPr baseColWidth="8" defaultRowHeight="14.4"/>
  <cols>
    <col width="8.88671875" customWidth="1" style="132" min="1" max="1"/>
    <col width="20.77734375" customWidth="1" style="132" min="2" max="2"/>
    <col width="44.5546875" customWidth="1" style="132" min="3" max="3"/>
    <col width="20.77734375" customWidth="1" style="132" min="4" max="4"/>
    <col width="20.5546875" customWidth="1" style="132" min="5" max="5"/>
    <col width="8.88671875" customWidth="1" style="132" min="6" max="16384"/>
  </cols>
  <sheetData>
    <row r="1" ht="41.4" customHeight="1" s="132">
      <c r="B1" s="27" t="n"/>
      <c r="C1" s="27" t="n"/>
      <c r="D1" s="174" t="inlineStr">
        <is>
          <t>«Həyat sığortası və qeyri-həyat sığortası
üzrə sığorta ehtiyatlarının formalaşdırılması Qaydaları»na Əlavə № 3</t>
        </is>
      </c>
    </row>
    <row r="2" ht="18" customHeight="1" s="132">
      <c r="B2" s="26" t="inlineStr">
        <is>
          <t>Forma № 8-14</t>
        </is>
      </c>
      <c r="C2" s="27" t="n"/>
      <c r="D2" s="130" t="n"/>
      <c r="E2" s="130" t="n"/>
    </row>
    <row r="3" ht="20.4" customHeight="1" s="132">
      <c r="B3" s="27" t="n"/>
      <c r="C3" s="179" t="inlineStr">
        <is>
          <t>Katastrofik risklər üzrə ehtiyat</t>
        </is>
      </c>
      <c r="D3" s="27" t="n"/>
      <c r="E3" s="200" t="n"/>
    </row>
    <row r="4" ht="20.4" customHeight="1" s="132">
      <c r="C4" s="176" t="inlineStr">
        <is>
          <t>Ateshgah</t>
        </is>
      </c>
      <c r="D4" s="170" t="n"/>
      <c r="E4" s="170" t="n"/>
    </row>
    <row r="5" ht="17.4" customHeight="1" s="132">
      <c r="C5" s="177" t="inlineStr">
        <is>
          <t xml:space="preserve">    (sığortaçının (təkrarsığortaçının)  adı)</t>
        </is>
      </c>
      <c r="D5" s="101" t="n"/>
      <c r="E5" s="101" t="n"/>
    </row>
    <row r="6" ht="15.6" customHeight="1" s="132">
      <c r="C6" s="171" t="n"/>
      <c r="D6" s="12" t="inlineStr">
        <is>
          <t>01.01.2026</t>
        </is>
      </c>
      <c r="E6" s="11" t="inlineStr">
        <is>
          <t xml:space="preserve"> -cı il  tarixə</t>
        </is>
      </c>
    </row>
    <row r="7" ht="17.4" customHeight="1" s="132">
      <c r="B7" s="11" t="n"/>
      <c r="E7" s="11" t="n"/>
    </row>
    <row r="8" ht="18" customHeight="1" s="132">
      <c r="B8" s="14" t="inlineStr">
        <is>
          <t>Sığortanın sinifi ____________________________</t>
        </is>
      </c>
      <c r="C8" s="219" t="inlineStr">
        <is>
          <t>(08)Yuk</t>
        </is>
      </c>
      <c r="D8" s="13" t="n"/>
      <c r="E8" s="13" t="n"/>
    </row>
    <row r="9" ht="18.6" customHeight="1" s="132" thickBot="1">
      <c r="B9" s="71" t="n"/>
      <c r="C9" s="71" t="n"/>
      <c r="D9" s="71" t="n"/>
      <c r="E9" s="71" t="n"/>
    </row>
    <row r="10" ht="15.6" customHeight="1" s="132" thickBot="1">
      <c r="B10" s="151" t="inlineStr">
        <is>
          <t>Sıra sayı</t>
        </is>
      </c>
      <c r="C10" s="152" t="inlineStr">
        <is>
          <t>Göstəricilərin adı</t>
        </is>
      </c>
      <c r="D10" s="152" t="inlineStr">
        <is>
          <t>Sətrin kodu</t>
        </is>
      </c>
      <c r="E10" s="152" t="inlineStr">
        <is>
          <t>Məbləğ</t>
        </is>
      </c>
    </row>
    <row r="11" ht="15.6" customHeight="1" s="132" thickBot="1">
      <c r="B11" s="153" t="inlineStr">
        <is>
          <t>I</t>
        </is>
      </c>
      <c r="C11" s="154" t="inlineStr">
        <is>
          <t>II</t>
        </is>
      </c>
      <c r="D11" s="154" t="inlineStr">
        <is>
          <t>III</t>
        </is>
      </c>
      <c r="E11" s="154" t="inlineStr">
        <is>
          <t>IV</t>
        </is>
      </c>
    </row>
    <row r="12" ht="15.6" customHeight="1" s="132" thickBot="1">
      <c r="A12" t="inlineStr">
        <is>
          <t>A1</t>
        </is>
      </c>
      <c r="B12" s="155" t="n">
        <v>1</v>
      </c>
      <c r="C12" s="156" t="inlineStr">
        <is>
          <t>Hesabat tarixindən əvvəlki rübün sonuna KRE</t>
        </is>
      </c>
      <c r="D12" s="157" t="n">
        <v>1000</v>
      </c>
      <c r="E12" s="158" t="n">
        <v>767.71</v>
      </c>
    </row>
    <row r="13" ht="45.6" customHeight="1" s="132" thickBot="1">
      <c r="A13" t="inlineStr">
        <is>
          <t>A2</t>
        </is>
      </c>
      <c r="B13" s="159" t="n">
        <v>2</v>
      </c>
      <c r="C13" s="160" t="inlineStr">
        <is>
          <t>Hesabat tarixinə qazanılmış sığorta (təkrarsığorta) haqqının katastrofik risk təminatına düşən hissəsi</t>
        </is>
      </c>
      <c r="D13" s="161" t="n">
        <v>1100</v>
      </c>
      <c r="E13" s="162" t="n">
        <v>206.2</v>
      </c>
    </row>
    <row r="14" ht="45.6" customHeight="1" s="132" thickBot="1">
      <c r="A14" t="inlineStr">
        <is>
          <t>A3</t>
        </is>
      </c>
      <c r="B14" s="159" t="n">
        <v>3</v>
      </c>
      <c r="C14" s="160" t="inlineStr">
        <is>
          <t>Hesabat tarixinə qazanılmış təkrarsığorta haqqının katastrofik risk təminatına düşən hissəsi</t>
        </is>
      </c>
      <c r="D14" s="163" t="n">
        <v>1200</v>
      </c>
      <c r="E14" s="164" t="n">
        <v>165.17</v>
      </c>
    </row>
    <row r="15" ht="30.6" customHeight="1" s="132" thickBot="1">
      <c r="A15" t="inlineStr">
        <is>
          <t>A4</t>
        </is>
      </c>
      <c r="B15" s="159" t="n">
        <v>4</v>
      </c>
      <c r="C15" s="160" t="inlineStr">
        <is>
          <t>Hesabat tarixinə KRE ("1000" + 12% x max("1100" - "1200"; 0))</t>
        </is>
      </c>
      <c r="D15" s="163" t="n">
        <v>1300</v>
      </c>
      <c r="E15" s="165" t="n">
        <v>772.63</v>
      </c>
    </row>
    <row r="16" ht="90.59999999999999" customHeight="1" s="132" thickBot="1">
      <c r="B16" s="159" t="n">
        <v>5</v>
      </c>
      <c r="C16" s="160" t="inlineStr">
        <is>
          <t>Hesabat tarixindən əvvəlki rüb üzrə katastrofik risklərə görə verilən sığorta ödənişlərinin (sığorta ödənişləri verilənə qədər isə xalis BTZE-nin) məbləği (sığorta ödənişlərində təkrarsığortaçının payı və sığorta müqaviləsi üzrə azadolma məbləğləri çıxılmaqla)</t>
        </is>
      </c>
      <c r="D16" s="163" t="n">
        <v>1350</v>
      </c>
      <c r="E16" s="165" t="n">
        <v>0</v>
      </c>
    </row>
    <row r="17" ht="45.6" customHeight="1" s="132" thickBot="1">
      <c r="B17" s="159" t="n">
        <v>6</v>
      </c>
      <c r="C17" s="160" t="inlineStr">
        <is>
          <t>(N-1) təqvim ilinin sonuna katastrofik risk təminatı üzrə hesablanmış xalis baza sığorta haqqı</t>
        </is>
      </c>
      <c r="D17" s="163" t="n">
        <v>1400</v>
      </c>
      <c r="E17" s="165" t="n">
        <v>1842.6</v>
      </c>
    </row>
    <row r="18" ht="45.6" customHeight="1" s="132" thickBot="1">
      <c r="B18" s="159" t="n">
        <v>7</v>
      </c>
      <c r="C18" s="160" t="inlineStr">
        <is>
          <t>(N-2) təqvim ilinin sonuna katastrofik risk təminatı üzrə hesablanmış xalis baza sığorta haqqı</t>
        </is>
      </c>
      <c r="D18" s="163" t="n">
        <v>1500</v>
      </c>
      <c r="E18" s="165" t="n">
        <v>5052.5</v>
      </c>
    </row>
    <row r="19" ht="45.6" customHeight="1" s="132" thickBot="1">
      <c r="B19" s="159" t="n">
        <v>8</v>
      </c>
      <c r="C19" s="160" t="inlineStr">
        <is>
          <t>(N-3) təqvim ilinin sonuna katastrofik risk təminatı üzrə hesablanmış xalis baza sığorta haqqı</t>
        </is>
      </c>
      <c r="D19" s="163" t="n">
        <v>1600</v>
      </c>
      <c r="E19" s="165" t="n">
        <v>4833.15</v>
      </c>
    </row>
    <row r="20" ht="45.6" customHeight="1" s="132" thickBot="1">
      <c r="B20" s="159" t="n">
        <v>9</v>
      </c>
      <c r="C20" s="160" t="inlineStr">
        <is>
          <t>(N-4) təqvim ilinin sonuna katastrofik risk təminatı üzrə hesablanmış xalis baza sığorta haqqı</t>
        </is>
      </c>
      <c r="D20" s="163" t="n">
        <v>1700</v>
      </c>
      <c r="E20" s="165" t="n">
        <v>1904.36</v>
      </c>
    </row>
    <row r="21" ht="45.6" customHeight="1" s="132" thickBot="1">
      <c r="B21" s="159" t="n">
        <v>10</v>
      </c>
      <c r="C21" s="160" t="inlineStr">
        <is>
          <t>(N-5) təqvim ilinin sonuna katastrofik risk təminatı üzrə hesablanmış xalis baza sığorta haqqı</t>
        </is>
      </c>
      <c r="D21" s="163" t="n">
        <v>1800</v>
      </c>
      <c r="E21" s="165" t="n">
        <v>1582.56</v>
      </c>
    </row>
    <row r="22" ht="45.6" customHeight="1" s="132" thickBot="1">
      <c r="B22" s="159" t="n">
        <v>11</v>
      </c>
      <c r="C22" s="160" t="inlineStr">
        <is>
          <t>Hesabat tarixinə yekun KRE (min(max("1300"-"1350";0); 150% x max("1400"; "1500";"1600";"1700";"1800"))</t>
        </is>
      </c>
      <c r="D22" s="163" t="n">
        <v>1900</v>
      </c>
      <c r="E22" s="165" t="n">
        <v>772.63</v>
      </c>
    </row>
    <row r="23">
      <c r="B23" s="166" t="n"/>
      <c r="C23" s="166" t="n"/>
      <c r="D23" s="166" t="n"/>
      <c r="E23" s="166" t="n"/>
    </row>
    <row r="24" ht="15" customHeight="1" s="132">
      <c r="B24" s="218" t="n"/>
    </row>
    <row r="25" ht="15" customHeight="1" s="132">
      <c r="B25" s="218" t="inlineStr">
        <is>
          <t>Qeyd:</t>
        </is>
      </c>
    </row>
    <row r="26" ht="15" customHeight="1" s="132">
      <c r="B26" s="215" t="inlineStr">
        <is>
          <t>1. Kodu 1100 olan sətirdə bu Qaydaya 3 nömrəli Əlavədəki 8-7 №-li Formanın X sütununun hesabat tarixi ilə qutaran rübə uyğun məbləği göstərilir.</t>
        </is>
      </c>
    </row>
    <row r="27" ht="15" customHeight="1" s="132">
      <c r="B27" s="215" t="inlineStr">
        <is>
          <t>2. Kodu 1200 olan sətirdə bu Qaydaya 3 nömrəli Əlavədəki 8-10 №-li Formanın X sütununun hesabat tarixi ilə qutaran rübə uyğun məbləği göstərilir.</t>
        </is>
      </c>
    </row>
    <row r="28" ht="15" customHeight="1" s="132">
      <c r="B28" s="216" t="inlineStr">
        <is>
          <t>3. Müvafiq təqvim ilinin sonuna katastrofik risk təminatı üzrə hesablanmış xalis baza sığorta (təkrarsığorta) haqqı “Sığorta (təkrarsığorta) müqavilələrinin uçotu jurnalı”na uyğun olaraq sığorta haqqının katastrofik risk təminatına düşən hissəsi (komisyon muzd çıxılmaqla) ilə təkrarsığorta haqqının katastrofik risk təminatına düşən hissəsi (komisyon muzd çıxılmaqla) arasındakı fərqə bərabərdir.</t>
        </is>
      </c>
    </row>
    <row r="29" ht="15" customHeight="1" s="132">
      <c r="B29" s="217" t="n"/>
    </row>
  </sheetData>
  <mergeCells count="7">
    <mergeCell ref="B26:E26"/>
    <mergeCell ref="B27:E27"/>
    <mergeCell ref="D1:E1"/>
    <mergeCell ref="B29:E29"/>
    <mergeCell ref="B25:E25"/>
    <mergeCell ref="B24:E24"/>
    <mergeCell ref="B28:E2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Samir Əlizadə</dc:creator>
  <dcterms:created xsi:type="dcterms:W3CDTF">2025-12-25T10:37:45Z</dcterms:created>
  <dcterms:modified xsi:type="dcterms:W3CDTF">2026-01-12T06:45:38Z</dcterms:modified>
  <cp:lastModifiedBy>Samir Əlizadə</cp:lastModifiedBy>
</cp:coreProperties>
</file>