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3040" windowHeight="8496" tabRatio="600" firstSheet="13" activeTab="0" autoFilterDateGrouping="1"/>
  </bookViews>
  <sheets>
    <sheet name="Forma8_1" sheetId="1" state="visible" r:id="rId1"/>
    <sheet name="Forma8_2" sheetId="2" state="visible" r:id="rId2"/>
    <sheet name="Forma8_4" sheetId="3" state="visible" r:id="rId3"/>
    <sheet name="Forma8_5" sheetId="4" state="visible" r:id="rId4"/>
    <sheet name="Forma8_6" sheetId="5" state="visible" r:id="rId5"/>
    <sheet name="Forma8_3" sheetId="6" state="visible" r:id="rId6"/>
    <sheet name="Forma8_11" sheetId="7" state="visible" r:id="rId7"/>
    <sheet name="Forma8_7" sheetId="8" state="visible" r:id="rId8"/>
    <sheet name="Forma8_10" sheetId="9" state="visible" r:id="rId9"/>
    <sheet name="Forma8_8" sheetId="10" state="visible" r:id="rId10"/>
    <sheet name="Forma8_12" sheetId="11" state="visible" r:id="rId11"/>
    <sheet name="Forma8_9" sheetId="12" state="visible" r:id="rId12"/>
    <sheet name="Forma8_13" sheetId="13" state="visible" r:id="rId13"/>
    <sheet name="Forma8_14" sheetId="14" state="visible" r:id="rId14"/>
  </sheets>
  <definedNames/>
  <calcPr calcId="162913" fullCalcOnLoad="1"/>
</workbook>
</file>

<file path=xl/styles.xml><?xml version="1.0" encoding="utf-8"?>
<styleSheet xmlns="http://schemas.openxmlformats.org/spreadsheetml/2006/main">
  <numFmts count="4">
    <numFmt numFmtId="164" formatCode="dd\.mm\.yyyy"/>
    <numFmt numFmtId="165" formatCode="DD.MM.YYYY"/>
    <numFmt numFmtId="166" formatCode="#,##0.0000"/>
    <numFmt numFmtId="167" formatCode="0.0000"/>
  </numFmts>
  <fonts count="43">
    <font>
      <name val="Calibri"/>
      <charset val="186"/>
      <family val="2"/>
      <color theme="1"/>
      <sz val="11"/>
      <scheme val="minor"/>
    </font>
    <font>
      <name val="A3 Times AzLat"/>
      <charset val="204"/>
      <family val="1"/>
      <b val="1"/>
      <color indexed="8"/>
      <sz val="14"/>
    </font>
    <font>
      <name val="A3 Times AzLat"/>
      <charset val="204"/>
      <family val="1"/>
      <sz val="10"/>
    </font>
    <font>
      <name val="A3 Times AzLat"/>
      <charset val="204"/>
      <family val="1"/>
      <b val="1"/>
      <sz val="14"/>
    </font>
    <font>
      <name val="A3 Times AzLat"/>
      <charset val="204"/>
      <family val="1"/>
      <sz val="14"/>
    </font>
    <font>
      <name val="A3 Times AzLat"/>
      <charset val="204"/>
      <family val="1"/>
      <color indexed="8"/>
      <sz val="12"/>
    </font>
    <font>
      <name val="A3 Times AzLat"/>
      <charset val="204"/>
      <family val="1"/>
      <color indexed="8"/>
      <sz val="14"/>
    </font>
    <font>
      <name val="Times New Roman"/>
      <charset val="204"/>
      <family val="1"/>
      <b val="1"/>
      <sz val="14"/>
    </font>
    <font>
      <name val="A3 Times AzLat"/>
      <charset val="204"/>
      <family val="1"/>
      <b val="1"/>
      <sz val="12"/>
    </font>
    <font>
      <name val="A3 Times AzLat"/>
      <charset val="204"/>
      <family val="1"/>
      <sz val="12"/>
    </font>
    <font>
      <name val="Times New Roman"/>
      <charset val="204"/>
      <family val="1"/>
      <i val="1"/>
      <sz val="14"/>
    </font>
    <font>
      <name val="Times New Roman"/>
      <charset val="204"/>
      <family val="1"/>
      <b val="1"/>
      <sz val="12"/>
    </font>
    <font>
      <name val="A3 Times AzLat"/>
      <charset val="204"/>
      <family val="1"/>
      <b val="1"/>
      <sz val="16"/>
    </font>
    <font>
      <name val="A3 Times AzLat"/>
      <charset val="204"/>
      <family val="1"/>
      <b val="1"/>
      <sz val="10"/>
    </font>
    <font>
      <name val="A3 Times AzLat"/>
      <charset val="204"/>
      <sz val="10"/>
    </font>
    <font>
      <name val="A2 Arial AzCyr"/>
      <charset val="204"/>
      <family val="2"/>
      <sz val="10"/>
    </font>
    <font>
      <name val="Times New Roman"/>
      <charset val="204"/>
      <family val="1"/>
      <i val="1"/>
      <sz val="12"/>
    </font>
    <font>
      <name val="Arial"/>
      <charset val="204"/>
      <family val="2"/>
      <sz val="11"/>
    </font>
    <font>
      <name val="Arial"/>
      <charset val="204"/>
      <family val="2"/>
      <b val="1"/>
      <sz val="11"/>
    </font>
    <font>
      <name val="A3 Times AzLat"/>
      <charset val="204"/>
      <b val="1"/>
      <sz val="12"/>
    </font>
    <font>
      <name val="Times New Roman"/>
      <charset val="204"/>
      <family val="1"/>
      <sz val="14"/>
    </font>
    <font>
      <name val="A3 Times AzLat"/>
      <charset val="204"/>
      <sz val="12"/>
    </font>
    <font>
      <name val="Arial"/>
      <charset val="204"/>
      <family val="2"/>
      <sz val="14"/>
    </font>
    <font>
      <name val="A3 Times AzLat"/>
      <charset val="204"/>
      <family val="1"/>
      <b val="1"/>
      <i val="1"/>
      <sz val="10"/>
    </font>
    <font>
      <name val="A3 Times AzLat"/>
      <charset val="204"/>
      <family val="1"/>
      <sz val="11"/>
    </font>
    <font>
      <name val="A3 Times AzLat"/>
      <charset val="204"/>
      <family val="1"/>
      <color indexed="8"/>
      <sz val="10"/>
    </font>
    <font>
      <name val="A3 Times AzLat"/>
      <charset val="204"/>
      <family val="1"/>
      <b val="1"/>
      <color indexed="8"/>
      <sz val="12"/>
    </font>
    <font>
      <name val="A3 Times AzLat"/>
      <charset val="204"/>
      <family val="1"/>
      <b val="1"/>
      <color indexed="8"/>
      <sz val="8"/>
    </font>
    <font>
      <name val="A3 Arial AzLat"/>
      <charset val="204"/>
      <family val="2"/>
      <sz val="10"/>
    </font>
    <font>
      <name val="A3 Arial AzLat"/>
      <charset val="204"/>
      <family val="2"/>
      <b val="1"/>
      <sz val="10"/>
    </font>
    <font>
      <name val="A3 Arial AzLat"/>
      <charset val="204"/>
      <family val="2"/>
      <sz val="8"/>
    </font>
    <font>
      <name val="A3 Times AZ Lat"/>
      <sz val="12"/>
    </font>
    <font>
      <name val="A3 Times AzLat"/>
      <charset val="204"/>
      <family val="1"/>
      <b val="1"/>
      <sz val="11"/>
    </font>
    <font>
      <name val="A3 Times AzLat"/>
      <charset val="204"/>
      <family val="1"/>
      <color indexed="8"/>
      <sz val="11"/>
    </font>
    <font>
      <name val="A3 Arial AzLat"/>
      <charset val="204"/>
      <family val="2"/>
      <b val="1"/>
      <sz val="11"/>
    </font>
    <font>
      <name val="A3 Arial AzLat"/>
      <charset val="204"/>
      <family val="2"/>
      <sz val="11"/>
    </font>
    <font>
      <name val="A3 Times AZ Lat"/>
      <sz val="11"/>
    </font>
    <font>
      <name val="Palatino Linotype"/>
      <charset val="204"/>
      <family val="1"/>
      <b val="1"/>
      <color rgb="FF000000"/>
      <sz val="10"/>
    </font>
    <font>
      <name val="Palatino Linotype"/>
      <charset val="204"/>
      <family val="1"/>
      <b val="1"/>
      <color rgb="FF212529"/>
      <sz val="10"/>
    </font>
    <font>
      <name val="Palatino Linotype"/>
      <charset val="204"/>
      <family val="1"/>
      <color rgb="FF212529"/>
      <sz val="10"/>
    </font>
    <font>
      <name val="Arial"/>
      <charset val="204"/>
      <family val="2"/>
      <color rgb="FF212529"/>
      <sz val="8"/>
    </font>
    <font>
      <name val="A3 Times AZ Lat"/>
      <sz val="10"/>
    </font>
    <font>
      <name val="A3 Times AZ Lat"/>
      <b val="1"/>
      <sz val="10"/>
    </font>
  </fonts>
  <fills count="6">
    <fill>
      <patternFill/>
    </fill>
    <fill>
      <patternFill patternType="gray125"/>
    </fill>
    <fill>
      <patternFill patternType="solid">
        <fgColor indexed="22"/>
        <bgColor indexed="64"/>
      </patternFill>
    </fill>
    <fill>
      <patternFill patternType="solid">
        <fgColor rgb="FFC0C0C0"/>
        <bgColor indexed="64"/>
      </patternFill>
    </fill>
    <fill>
      <patternFill patternType="solid">
        <fgColor rgb="FFFFFFFF"/>
        <bgColor indexed="64"/>
      </patternFill>
    </fill>
    <fill>
      <patternFill patternType="solid">
        <fgColor rgb="FFFFFF00"/>
        <bgColor indexed="64"/>
      </patternFill>
    </fill>
  </fills>
  <borders count="32">
    <border>
      <left/>
      <right/>
      <top/>
      <bottom/>
      <diagonal/>
    </border>
    <border>
      <left style="thin">
        <color indexed="64"/>
      </left>
      <right style="thin">
        <color indexed="64"/>
      </right>
      <top style="thin">
        <color indexed="64"/>
      </top>
      <bottom/>
      <diagonal/>
    </border>
    <border>
      <left style="thin">
        <color auto="1"/>
      </left>
      <right style="thin">
        <color auto="1"/>
      </right>
      <top style="thin">
        <color auto="1"/>
      </top>
      <bottom style="thin">
        <color auto="1"/>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diagonal/>
    </border>
    <border>
      <left/>
      <right style="medium">
        <color rgb="FF000000"/>
      </right>
      <top/>
      <bottom/>
      <diagonal/>
    </border>
    <border>
      <left/>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auto="1"/>
      </left>
      <right/>
      <top/>
      <bottom/>
      <diagonal/>
    </border>
    <border>
      <left style="thin">
        <color auto="1"/>
      </left>
      <right style="thin">
        <color auto="1"/>
      </right>
      <top/>
      <bottom/>
      <diagonal/>
    </border>
    <border>
      <left style="thin">
        <color auto="1"/>
      </left>
      <right style="thin">
        <color auto="1"/>
      </right>
      <top/>
      <bottom style="thin">
        <color auto="1"/>
      </bottom>
      <diagonal/>
    </border>
    <border>
      <left/>
      <right/>
      <top style="thin">
        <color auto="1"/>
      </top>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right style="thin"/>
      <top style="thin"/>
      <bottom style="thin"/>
    </border>
  </borders>
  <cellStyleXfs count="1">
    <xf numFmtId="0" fontId="0" fillId="0" borderId="0"/>
  </cellStyleXfs>
  <cellXfs count="249">
    <xf numFmtId="0" fontId="0" fillId="0" borderId="0" pivotButton="0" quotePrefix="0" xfId="0"/>
    <xf numFmtId="0" fontId="0" fillId="0" borderId="0" pivotButton="0" quotePrefix="0" xfId="0"/>
    <xf numFmtId="14" fontId="4" fillId="0" borderId="1" applyAlignment="1" pivotButton="0" quotePrefix="0" xfId="0">
      <alignment horizontal="left" vertical="center"/>
    </xf>
    <xf numFmtId="14" fontId="4" fillId="0" borderId="1" applyAlignment="1" pivotButton="0" quotePrefix="0" xfId="0">
      <alignment horizontal="center" vertical="center"/>
    </xf>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vertical="center" wrapText="1"/>
    </xf>
    <xf numFmtId="0" fontId="0" fillId="0" borderId="0" pivotButton="0" quotePrefix="0" xfId="0"/>
    <xf numFmtId="0" fontId="3" fillId="0" borderId="0" applyAlignment="1" pivotButton="0" quotePrefix="0" xfId="0">
      <alignment horizontal="center" vertical="center" wrapText="1"/>
    </xf>
    <xf numFmtId="0" fontId="3" fillId="0" borderId="0" applyAlignment="1" pivotButton="0" quotePrefix="0" xfId="0">
      <alignment vertical="center" wrapText="1"/>
    </xf>
    <xf numFmtId="0" fontId="4" fillId="0" borderId="0" applyAlignment="1" pivotButton="0" quotePrefix="0" xfId="0">
      <alignment horizontal="center" vertical="center" wrapText="1"/>
    </xf>
    <xf numFmtId="0" fontId="1" fillId="0" borderId="0" pivotButton="0" quotePrefix="0" xfId="0"/>
    <xf numFmtId="14" fontId="1" fillId="0" borderId="0" applyAlignment="1" pivotButton="0" quotePrefix="0" xfId="0">
      <alignment horizontal="right"/>
    </xf>
    <xf numFmtId="0" fontId="1" fillId="0" borderId="0" applyAlignment="1" pivotButton="0" quotePrefix="0" xfId="0">
      <alignment horizontal="center"/>
    </xf>
    <xf numFmtId="0" fontId="6" fillId="0" borderId="0" applyAlignment="1" pivotButton="0" quotePrefix="0" xfId="0">
      <alignment vertical="center"/>
    </xf>
    <xf numFmtId="0" fontId="6" fillId="0" borderId="0" applyAlignment="1" pivotButton="0" quotePrefix="0" xfId="0">
      <alignment horizontal="left"/>
    </xf>
    <xf numFmtId="0" fontId="4" fillId="0" borderId="0" pivotButton="0" quotePrefix="0" xfId="0"/>
    <xf numFmtId="0" fontId="3" fillId="2" borderId="2" applyAlignment="1" pivotButton="0" quotePrefix="0" xfId="0">
      <alignment horizontal="center" vertical="center" wrapText="1"/>
    </xf>
    <xf numFmtId="0" fontId="7" fillId="2" borderId="2" applyAlignment="1" pivotButton="0" quotePrefix="0" xfId="0">
      <alignment horizontal="center" vertical="center" wrapText="1"/>
    </xf>
    <xf numFmtId="0" fontId="3" fillId="0" borderId="2" applyAlignment="1" pivotButton="0" quotePrefix="0" xfId="0">
      <alignment horizontal="center"/>
    </xf>
    <xf numFmtId="0" fontId="4" fillId="0" borderId="1" applyAlignment="1" pivotButton="0" quotePrefix="0" xfId="0">
      <alignment horizontal="left" vertical="center"/>
    </xf>
    <xf numFmtId="0" fontId="3" fillId="0" borderId="1" applyAlignment="1" pivotButton="0" quotePrefix="0" xfId="0">
      <alignment horizontal="center"/>
    </xf>
    <xf numFmtId="0" fontId="4" fillId="0" borderId="2" applyAlignment="1" pivotButton="0" quotePrefix="0" xfId="0">
      <alignment horizontal="center" vertical="center"/>
    </xf>
    <xf numFmtId="14" fontId="4" fillId="0" borderId="2" applyAlignment="1" pivotButton="0" quotePrefix="0" xfId="0">
      <alignment horizontal="center" vertical="center"/>
    </xf>
    <xf numFmtId="0" fontId="9" fillId="0" borderId="0" applyAlignment="1" pivotButton="0" quotePrefix="0" xfId="0">
      <alignment horizontal="justify" vertical="center"/>
    </xf>
    <xf numFmtId="0" fontId="0" fillId="0" borderId="0" applyAlignment="1" pivotButton="0" quotePrefix="0" xfId="0">
      <alignment vertical="center"/>
    </xf>
    <xf numFmtId="0" fontId="3" fillId="0" borderId="0" applyAlignment="1" pivotButton="0" quotePrefix="0" xfId="0">
      <alignment vertical="center"/>
    </xf>
    <xf numFmtId="0" fontId="4" fillId="0" borderId="0" applyAlignment="1" pivotButton="0" quotePrefix="0" xfId="0">
      <alignment vertical="center"/>
    </xf>
    <xf numFmtId="0" fontId="4" fillId="0" borderId="0" applyAlignment="1" pivotButton="0" quotePrefix="0" xfId="0">
      <alignment horizontal="center" vertical="center" wrapText="1"/>
    </xf>
    <xf numFmtId="0" fontId="4" fillId="0" borderId="2" applyAlignment="1" pivotButton="0" quotePrefix="0" xfId="0">
      <alignment horizontal="center"/>
    </xf>
    <xf numFmtId="0" fontId="3" fillId="0" borderId="2" applyAlignment="1" pivotButton="0" quotePrefix="0" xfId="0">
      <alignment horizontal="center" vertical="center" wrapText="1"/>
    </xf>
    <xf numFmtId="0" fontId="1" fillId="0" borderId="0" applyAlignment="1" pivotButton="0" quotePrefix="0" xfId="0">
      <alignment horizontal="center" vertical="center" wrapText="1"/>
    </xf>
    <xf numFmtId="0" fontId="3" fillId="0" borderId="0" applyAlignment="1" pivotButton="0" quotePrefix="0" xfId="0">
      <alignment vertical="center" wrapText="1"/>
    </xf>
    <xf numFmtId="0" fontId="3" fillId="0" borderId="2" applyAlignment="1" pivotButton="0" quotePrefix="0" xfId="0">
      <alignment horizontal="center" vertical="center"/>
    </xf>
    <xf numFmtId="0" fontId="3" fillId="0" borderId="2" applyAlignment="1" pivotButton="0" quotePrefix="0" xfId="0">
      <alignment horizontal="left" vertical="center"/>
    </xf>
    <xf numFmtId="0" fontId="2" fillId="0" borderId="0" applyAlignment="1" pivotButton="0" quotePrefix="0" xfId="0">
      <alignment horizontal="center" vertical="justify"/>
    </xf>
    <xf numFmtId="0" fontId="3" fillId="0" borderId="0" pivotButton="0" quotePrefix="0" xfId="0"/>
    <xf numFmtId="0" fontId="2" fillId="0" borderId="0" applyAlignment="1" pivotButton="0" quotePrefix="0" xfId="0">
      <alignment horizontal="center" vertical="center"/>
    </xf>
    <xf numFmtId="0" fontId="2" fillId="0" borderId="0" pivotButton="0" quotePrefix="0" xfId="0"/>
    <xf numFmtId="0" fontId="8" fillId="0" borderId="4" applyAlignment="1" pivotButton="0" quotePrefix="0" xfId="0">
      <alignment vertical="center"/>
    </xf>
    <xf numFmtId="0" fontId="8" fillId="0" borderId="5" applyAlignment="1" pivotButton="0" quotePrefix="0" xfId="0">
      <alignment vertical="center"/>
    </xf>
    <xf numFmtId="0" fontId="8" fillId="0" borderId="6" applyAlignment="1" pivotButton="0" quotePrefix="0" xfId="0">
      <alignment vertical="center"/>
    </xf>
    <xf numFmtId="0" fontId="3" fillId="0" borderId="4" pivotButton="0" quotePrefix="0" xfId="0"/>
    <xf numFmtId="0" fontId="3" fillId="0" borderId="5" pivotButton="0" quotePrefix="0" xfId="0"/>
    <xf numFmtId="0" fontId="3" fillId="0" borderId="6" pivotButton="0" quotePrefix="0" xfId="0"/>
    <xf numFmtId="0" fontId="9" fillId="0" borderId="2" applyAlignment="1" pivotButton="0" quotePrefix="0" xfId="0">
      <alignment vertical="center"/>
    </xf>
    <xf numFmtId="0" fontId="9" fillId="0" borderId="0" applyAlignment="1" pivotButton="0" quotePrefix="0" xfId="0">
      <alignment vertical="center"/>
    </xf>
    <xf numFmtId="0" fontId="4" fillId="0" borderId="2" applyAlignment="1" pivotButton="0" quotePrefix="0" xfId="0">
      <alignment horizontal="left" vertical="center" wrapText="1"/>
    </xf>
    <xf numFmtId="0" fontId="4" fillId="0" borderId="2" applyAlignment="1" pivotButton="0" quotePrefix="0" xfId="0">
      <alignment horizontal="center" vertical="center" wrapText="1"/>
    </xf>
    <xf numFmtId="0" fontId="4" fillId="0" borderId="2" applyAlignment="1" pivotButton="0" quotePrefix="0" xfId="0">
      <alignment vertical="center"/>
    </xf>
    <xf numFmtId="0" fontId="4" fillId="0" borderId="2" applyAlignment="1" pivotButton="0" quotePrefix="0" xfId="0">
      <alignment horizontal="center" vertical="center" wrapText="1"/>
    </xf>
    <xf numFmtId="0" fontId="14" fillId="0" borderId="0" applyAlignment="1" pivotButton="0" quotePrefix="0" xfId="0">
      <alignment horizontal="center"/>
    </xf>
    <xf numFmtId="0" fontId="15" fillId="0" borderId="2" applyAlignment="1" pivotButton="0" quotePrefix="0" xfId="0">
      <alignment horizontal="left"/>
    </xf>
    <xf numFmtId="0" fontId="14" fillId="0" borderId="2" applyAlignment="1" pivotButton="0" quotePrefix="0" xfId="0">
      <alignment horizontal="center" vertical="center" wrapText="1"/>
    </xf>
    <xf numFmtId="0" fontId="9" fillId="0" borderId="2" applyAlignment="1" pivotButton="0" quotePrefix="0" xfId="0">
      <alignment horizontal="left" vertical="center" wrapText="1"/>
    </xf>
    <xf numFmtId="0" fontId="2" fillId="0" borderId="0" applyAlignment="1" pivotButton="0" quotePrefix="0" xfId="0">
      <alignment vertical="center" wrapText="1"/>
    </xf>
    <xf numFmtId="0" fontId="11" fillId="2" borderId="2" applyAlignment="1" pivotButton="0" quotePrefix="0" xfId="0">
      <alignment horizontal="center" vertical="center" wrapText="1"/>
    </xf>
    <xf numFmtId="0" fontId="17" fillId="0" borderId="0" applyAlignment="1" pivotButton="0" quotePrefix="0" xfId="0">
      <alignment horizontal="center" vertical="center"/>
    </xf>
    <xf numFmtId="0" fontId="18" fillId="0" borderId="2" applyAlignment="1" pivotButton="0" quotePrefix="0" xfId="0">
      <alignment horizontal="center" vertical="center"/>
    </xf>
    <xf numFmtId="0" fontId="17" fillId="0" borderId="2" applyAlignment="1" pivotButton="0" quotePrefix="0" xfId="0">
      <alignment horizontal="center" vertical="center"/>
    </xf>
    <xf numFmtId="0" fontId="17" fillId="0" borderId="0" applyAlignment="1" pivotButton="0" quotePrefix="0" xfId="0">
      <alignment horizontal="center"/>
    </xf>
    <xf numFmtId="0" fontId="17" fillId="0" borderId="2" applyAlignment="1" pivotButton="0" quotePrefix="0" xfId="0">
      <alignment horizontal="left"/>
    </xf>
    <xf numFmtId="0" fontId="17" fillId="0" borderId="2" applyAlignment="1" pivotButton="0" quotePrefix="0" xfId="0">
      <alignment horizontal="center" vertical="center" wrapText="1"/>
    </xf>
    <xf numFmtId="0" fontId="14" fillId="0" borderId="2" applyAlignment="1" pivotButton="0" quotePrefix="0" xfId="0">
      <alignment horizontal="center"/>
    </xf>
    <xf numFmtId="0" fontId="17" fillId="0" borderId="2" applyAlignment="1" pivotButton="0" quotePrefix="0" xfId="0">
      <alignment horizontal="left" vertical="center" wrapText="1"/>
    </xf>
    <xf numFmtId="0" fontId="17" fillId="0" borderId="2" applyAlignment="1" pivotButton="0" quotePrefix="0" xfId="0">
      <alignment vertical="center"/>
    </xf>
    <xf numFmtId="0" fontId="19" fillId="0" borderId="2" applyAlignment="1" pivotButton="0" quotePrefix="0" xfId="0">
      <alignment horizontal="center"/>
    </xf>
    <xf numFmtId="0" fontId="9" fillId="0" borderId="3" pivotButton="0" quotePrefix="0" xfId="0"/>
    <xf numFmtId="0" fontId="9" fillId="0" borderId="3" applyAlignment="1" pivotButton="0" quotePrefix="0" xfId="0">
      <alignment horizontal="center" vertical="center" wrapText="1"/>
    </xf>
    <xf numFmtId="0" fontId="4" fillId="0" borderId="3" applyAlignment="1" pivotButton="0" quotePrefix="0" xfId="0">
      <alignment horizontal="center"/>
    </xf>
    <xf numFmtId="0" fontId="4" fillId="0" borderId="3" pivotButton="0" quotePrefix="0" xfId="0"/>
    <xf numFmtId="0" fontId="4" fillId="0" borderId="0" pivotButton="0" quotePrefix="0" xfId="0"/>
    <xf numFmtId="0" fontId="20" fillId="0" borderId="2" applyAlignment="1" pivotButton="0" quotePrefix="0" xfId="0">
      <alignment horizontal="center" vertical="center"/>
    </xf>
    <xf numFmtId="0" fontId="21" fillId="0" borderId="0" applyAlignment="1" pivotButton="0" quotePrefix="0" xfId="0">
      <alignment horizontal="center"/>
    </xf>
    <xf numFmtId="0" fontId="21" fillId="0" borderId="2" applyAlignment="1" pivotButton="0" quotePrefix="0" xfId="0">
      <alignment horizontal="center" vertical="center" wrapText="1"/>
    </xf>
    <xf numFmtId="0" fontId="1" fillId="0" borderId="0" applyAlignment="1" pivotButton="0" quotePrefix="0" xfId="0">
      <alignment vertical="center"/>
    </xf>
    <xf numFmtId="0" fontId="1" fillId="0" borderId="0" applyAlignment="1" pivotButton="0" quotePrefix="0" xfId="0">
      <alignment horizontal="center" vertical="center"/>
    </xf>
    <xf numFmtId="0" fontId="22" fillId="0" borderId="0" applyAlignment="1" pivotButton="0" quotePrefix="0" xfId="0">
      <alignment horizontal="center" vertical="center"/>
    </xf>
    <xf numFmtId="0" fontId="9" fillId="0" borderId="3" applyAlignment="1" pivotButton="0" quotePrefix="0" xfId="0">
      <alignment vertical="center"/>
    </xf>
    <xf numFmtId="0" fontId="9" fillId="0" borderId="3" applyAlignment="1" pivotButton="0" quotePrefix="0" xfId="0">
      <alignment horizontal="center" vertical="center" wrapText="1"/>
    </xf>
    <xf numFmtId="0" fontId="4" fillId="0" borderId="3" applyAlignment="1" pivotButton="0" quotePrefix="0" xfId="0">
      <alignment horizontal="center" vertical="center"/>
    </xf>
    <xf numFmtId="0" fontId="4" fillId="0" borderId="3" applyAlignment="1" pivotButton="0" quotePrefix="0" xfId="0">
      <alignment vertical="center"/>
    </xf>
    <xf numFmtId="2" fontId="4" fillId="0" borderId="2" applyAlignment="1" pivotButton="0" quotePrefix="0" xfId="0">
      <alignment horizontal="center"/>
    </xf>
    <xf numFmtId="0" fontId="0" fillId="0" borderId="0" applyAlignment="1" pivotButton="0" quotePrefix="0" xfId="0">
      <alignment horizontal="center"/>
    </xf>
    <xf numFmtId="0" fontId="2" fillId="0" borderId="0" applyAlignment="1" pivotButton="0" quotePrefix="0" xfId="0">
      <alignment horizontal="center" vertical="center" wrapText="1"/>
    </xf>
    <xf numFmtId="0" fontId="3" fillId="0" borderId="0" applyAlignment="1" pivotButton="0" quotePrefix="0" xfId="0">
      <alignment horizontal="center"/>
    </xf>
    <xf numFmtId="0" fontId="5" fillId="0" borderId="0" applyAlignment="1" pivotButton="0" quotePrefix="0" xfId="0">
      <alignment horizontal="center" vertical="center"/>
    </xf>
    <xf numFmtId="0" fontId="13" fillId="0" borderId="0" applyAlignment="1" pivotButton="0" quotePrefix="0" xfId="0">
      <alignment horizontal="left" vertical="center" wrapText="1"/>
    </xf>
    <xf numFmtId="0" fontId="3" fillId="0" borderId="0" applyAlignment="1" pivotButton="0" quotePrefix="0" xfId="0">
      <alignment horizontal="center" vertical="center" wrapText="1"/>
    </xf>
    <xf numFmtId="0" fontId="4" fillId="0" borderId="2" applyAlignment="1" pivotButton="0" quotePrefix="0" xfId="0">
      <alignment horizontal="left" vertical="center"/>
    </xf>
    <xf numFmtId="0" fontId="0" fillId="0" borderId="0" pivotButton="0" quotePrefix="0" xfId="0"/>
    <xf numFmtId="0" fontId="3" fillId="0" borderId="0" applyAlignment="1" pivotButton="0" quotePrefix="0" xfId="0">
      <alignment horizontal="center"/>
    </xf>
    <xf numFmtId="0" fontId="5" fillId="0" borderId="0" applyAlignment="1" pivotButton="0" quotePrefix="0" xfId="0">
      <alignment horizontal="center" vertical="center"/>
    </xf>
    <xf numFmtId="0" fontId="13" fillId="0" borderId="0" applyAlignment="1" pivotButton="0" quotePrefix="0" xfId="0">
      <alignment horizontal="left" vertical="center" wrapText="1"/>
    </xf>
    <xf numFmtId="0" fontId="3" fillId="0" borderId="0" applyAlignment="1" pivotButton="0" quotePrefix="0" xfId="0">
      <alignment horizontal="center" vertical="center" wrapText="1"/>
    </xf>
    <xf numFmtId="0" fontId="3" fillId="0" borderId="0" applyAlignment="1" pivotButton="0" quotePrefix="0" xfId="0">
      <alignment horizontal="center"/>
    </xf>
    <xf numFmtId="0" fontId="0" fillId="0" borderId="3" applyAlignment="1" pivotButton="0" quotePrefix="0" xfId="0">
      <alignment vertical="center" wrapText="1"/>
    </xf>
    <xf numFmtId="0" fontId="24" fillId="0" borderId="0" applyAlignment="1" pivotButton="0" quotePrefix="0" xfId="0">
      <alignment horizontal="center" vertical="center" wrapText="1"/>
    </xf>
    <xf numFmtId="0" fontId="2" fillId="0" borderId="0" applyAlignment="1" pivotButton="0" quotePrefix="0" xfId="0">
      <alignment vertical="center"/>
    </xf>
    <xf numFmtId="0" fontId="9" fillId="0" borderId="0" applyAlignment="1" pivotButton="0" quotePrefix="0" xfId="0">
      <alignment horizontal="center" vertical="center" wrapText="1"/>
    </xf>
    <xf numFmtId="0" fontId="0" fillId="0" borderId="0" applyAlignment="1" pivotButton="0" quotePrefix="0" xfId="0">
      <alignment vertical="center"/>
    </xf>
    <xf numFmtId="0" fontId="3" fillId="0" borderId="0" pivotButton="0" quotePrefix="0" xfId="0"/>
    <xf numFmtId="0" fontId="26" fillId="0" borderId="0" pivotButton="0" quotePrefix="0" xfId="0"/>
    <xf numFmtId="0" fontId="27" fillId="0" borderId="0" pivotButton="0" quotePrefix="0" xfId="0"/>
    <xf numFmtId="0" fontId="5" fillId="0" borderId="0" applyAlignment="1" pivotButton="0" quotePrefix="0" xfId="0">
      <alignment vertical="center"/>
    </xf>
    <xf numFmtId="0" fontId="6" fillId="0" borderId="0" pivotButton="0" quotePrefix="0" xfId="0"/>
    <xf numFmtId="0" fontId="29" fillId="2" borderId="2" applyAlignment="1" pivotButton="0" quotePrefix="0" xfId="0">
      <alignment horizontal="center" vertical="center" wrapText="1"/>
    </xf>
    <xf numFmtId="0" fontId="28" fillId="0" borderId="2" applyAlignment="1" pivotButton="0" quotePrefix="0" xfId="0">
      <alignment horizontal="center" vertical="center" wrapText="1"/>
    </xf>
    <xf numFmtId="0" fontId="29" fillId="2" borderId="2" applyAlignment="1" pivotButton="0" quotePrefix="0" xfId="0">
      <alignment horizontal="left" vertical="center"/>
    </xf>
    <xf numFmtId="0" fontId="30" fillId="0" borderId="2" applyAlignment="1" pivotButton="0" quotePrefix="0" xfId="0">
      <alignment horizontal="center" vertical="center"/>
    </xf>
    <xf numFmtId="0" fontId="28" fillId="0" borderId="2" applyAlignment="1" pivotButton="0" quotePrefix="0" xfId="0">
      <alignment horizontal="center" vertical="center"/>
    </xf>
    <xf numFmtId="0" fontId="28" fillId="0" borderId="2" applyAlignment="1" pivotButton="0" quotePrefix="0" xfId="0">
      <alignment horizontal="center" vertical="center"/>
    </xf>
    <xf numFmtId="0" fontId="28" fillId="0" borderId="2" applyAlignment="1" pivotButton="0" quotePrefix="0" xfId="0">
      <alignment horizontal="center"/>
    </xf>
    <xf numFmtId="0" fontId="29" fillId="0" borderId="2" applyAlignment="1" pivotButton="0" quotePrefix="0" xfId="0">
      <alignment horizontal="center" vertical="center"/>
    </xf>
    <xf numFmtId="0" fontId="13" fillId="0" borderId="3" applyAlignment="1" pivotButton="0" quotePrefix="0" xfId="0">
      <alignment vertical="center"/>
    </xf>
    <xf numFmtId="0" fontId="0" fillId="0" borderId="3" applyAlignment="1" pivotButton="0" quotePrefix="0" xfId="0">
      <alignment vertical="center"/>
    </xf>
    <xf numFmtId="0" fontId="8" fillId="0" borderId="0" applyAlignment="1" pivotButton="0" quotePrefix="0" xfId="0">
      <alignment vertical="center"/>
    </xf>
    <xf numFmtId="0" fontId="13" fillId="0" borderId="0" applyAlignment="1" pivotButton="0" quotePrefix="0" xfId="0">
      <alignment vertical="center"/>
    </xf>
    <xf numFmtId="0" fontId="9" fillId="0" borderId="0" applyAlignment="1" pivotButton="0" quotePrefix="0" xfId="0">
      <alignment vertical="center"/>
    </xf>
    <xf numFmtId="0" fontId="28" fillId="0" borderId="0" applyAlignment="1" pivotButton="0" quotePrefix="0" xfId="0">
      <alignment horizontal="center" vertical="center"/>
    </xf>
    <xf numFmtId="0" fontId="13" fillId="0" borderId="3" applyAlignment="1" pivotButton="0" quotePrefix="0" xfId="0">
      <alignment vertical="center" wrapText="1"/>
    </xf>
    <xf numFmtId="164" fontId="31" fillId="0" borderId="2" applyAlignment="1" pivotButton="0" quotePrefix="0" xfId="0">
      <alignment horizontal="center" vertical="center"/>
    </xf>
    <xf numFmtId="0" fontId="24" fillId="0" borderId="0" applyAlignment="1" pivotButton="0" quotePrefix="0" xfId="0">
      <alignment vertical="center"/>
    </xf>
    <xf numFmtId="0" fontId="32" fillId="0" borderId="0" pivotButton="0" quotePrefix="0" xfId="0"/>
    <xf numFmtId="0" fontId="0" fillId="0" borderId="0" pivotButton="0" quotePrefix="0" xfId="0"/>
    <xf numFmtId="0" fontId="33" fillId="0" borderId="0" applyAlignment="1" pivotButton="0" quotePrefix="0" xfId="0">
      <alignment horizontal="left"/>
    </xf>
    <xf numFmtId="0" fontId="35" fillId="0" borderId="2" applyAlignment="1" pivotButton="0" quotePrefix="0" xfId="0">
      <alignment horizontal="center" vertical="center" wrapText="1"/>
    </xf>
    <xf numFmtId="164" fontId="36" fillId="0" borderId="2" applyAlignment="1" pivotButton="0" quotePrefix="0" xfId="0">
      <alignment horizontal="center" vertical="center"/>
    </xf>
    <xf numFmtId="0" fontId="35" fillId="0" borderId="2" applyAlignment="1" pivotButton="0" quotePrefix="0" xfId="0">
      <alignment horizontal="center"/>
    </xf>
    <xf numFmtId="0" fontId="32" fillId="0" borderId="3" applyAlignment="1" pivotButton="0" quotePrefix="0" xfId="0">
      <alignment vertical="center" wrapText="1"/>
    </xf>
    <xf numFmtId="0" fontId="0" fillId="0" borderId="0" applyAlignment="1" pivotButton="0" quotePrefix="0" xfId="0">
      <alignment vertical="center"/>
    </xf>
    <xf numFmtId="0" fontId="0" fillId="0" borderId="0" pivotButton="0" quotePrefix="0" xfId="0"/>
    <xf numFmtId="0" fontId="0" fillId="0" borderId="0" pivotButton="0" quotePrefix="0" xfId="0"/>
    <xf numFmtId="0" fontId="3" fillId="0" borderId="0" applyAlignment="1" pivotButton="0" quotePrefix="0" xfId="0">
      <alignment horizontal="center"/>
    </xf>
    <xf numFmtId="0" fontId="0" fillId="0" borderId="3" applyAlignment="1" pivotButton="0" quotePrefix="0" xfId="0">
      <alignment vertical="center" wrapText="1"/>
    </xf>
    <xf numFmtId="0" fontId="4" fillId="0" borderId="0" applyAlignment="1" pivotButton="0" quotePrefix="0" xfId="0">
      <alignment horizontal="center" vertical="center" wrapText="1"/>
    </xf>
    <xf numFmtId="0" fontId="29" fillId="2" borderId="2" applyAlignment="1" pivotButton="0" quotePrefix="0" xfId="0">
      <alignment horizontal="center" vertical="center" wrapText="1"/>
    </xf>
    <xf numFmtId="0" fontId="4" fillId="0" borderId="0" applyAlignment="1" pivotButton="0" quotePrefix="0" xfId="0">
      <alignment horizontal="center" vertical="center" wrapText="1"/>
    </xf>
    <xf numFmtId="0" fontId="4" fillId="0" borderId="0" applyAlignment="1" pivotButton="0" quotePrefix="0" xfId="0">
      <alignment horizontal="center" vertical="center" wrapText="1"/>
    </xf>
    <xf numFmtId="0" fontId="3" fillId="0" borderId="0" applyAlignment="1" pivotButton="0" quotePrefix="0" xfId="0">
      <alignment horizontal="left" vertical="center"/>
    </xf>
    <xf numFmtId="0" fontId="3" fillId="0" borderId="1" applyAlignment="1" pivotButton="0" quotePrefix="0" xfId="0">
      <alignment horizontal="center" vertical="center"/>
    </xf>
    <xf numFmtId="0" fontId="4" fillId="0" borderId="2" applyAlignment="1" pivotButton="0" quotePrefix="0" xfId="0">
      <alignment horizontal="center" vertical="center"/>
    </xf>
    <xf numFmtId="0" fontId="4" fillId="0" borderId="2" applyAlignment="1" pivotButton="0" quotePrefix="0" xfId="0">
      <alignment horizontal="left" wrapText="1"/>
    </xf>
    <xf numFmtId="0" fontId="4" fillId="0" borderId="4" applyAlignment="1" pivotButton="0" quotePrefix="0" xfId="0">
      <alignment horizontal="center"/>
    </xf>
    <xf numFmtId="0" fontId="4" fillId="0" borderId="12" applyAlignment="1" pivotButton="0" quotePrefix="0" xfId="0">
      <alignment horizontal="center" vertical="center"/>
    </xf>
    <xf numFmtId="0" fontId="4" fillId="0" borderId="12" applyAlignment="1" pivotButton="0" quotePrefix="0" xfId="0">
      <alignment horizontal="left"/>
    </xf>
    <xf numFmtId="0" fontId="4" fillId="0" borderId="12" applyAlignment="1" pivotButton="0" quotePrefix="0" xfId="0">
      <alignment horizontal="center"/>
    </xf>
    <xf numFmtId="0" fontId="3" fillId="0" borderId="0" applyAlignment="1" pivotButton="0" quotePrefix="0" xfId="0">
      <alignment horizontal="center"/>
    </xf>
    <xf numFmtId="0" fontId="5" fillId="0" borderId="0" applyAlignment="1" pivotButton="0" quotePrefix="0" xfId="0">
      <alignment horizontal="center" vertical="center"/>
    </xf>
    <xf numFmtId="0" fontId="12" fillId="0" borderId="0" applyAlignment="1" pivotButton="0" quotePrefix="0" xfId="0">
      <alignment horizontal="center" vertical="center" wrapText="1"/>
    </xf>
    <xf numFmtId="0" fontId="4" fillId="0" borderId="0" applyAlignment="1" pivotButton="0" quotePrefix="0" xfId="0">
      <alignment horizontal="center" vertical="center" wrapText="1"/>
    </xf>
    <xf numFmtId="0" fontId="37" fillId="3" borderId="13" applyAlignment="1" pivotButton="0" quotePrefix="0" xfId="0">
      <alignment vertical="center" wrapText="1"/>
    </xf>
    <xf numFmtId="0" fontId="37" fillId="3" borderId="14" applyAlignment="1" pivotButton="0" quotePrefix="0" xfId="0">
      <alignment horizontal="center" vertical="center" wrapText="1"/>
    </xf>
    <xf numFmtId="0" fontId="38" fillId="4" borderId="15" applyAlignment="1" pivotButton="0" quotePrefix="0" xfId="0">
      <alignment horizontal="center" vertical="center"/>
    </xf>
    <xf numFmtId="0" fontId="38" fillId="4" borderId="16" applyAlignment="1" pivotButton="0" quotePrefix="0" xfId="0">
      <alignment horizontal="center" vertical="center"/>
    </xf>
    <xf numFmtId="0" fontId="39" fillId="4" borderId="13" applyAlignment="1" pivotButton="0" quotePrefix="0" xfId="0">
      <alignment horizontal="center" vertical="center"/>
    </xf>
    <xf numFmtId="0" fontId="39" fillId="4" borderId="14" applyAlignment="1" pivotButton="0" quotePrefix="0" xfId="0">
      <alignment vertical="center" wrapText="1"/>
    </xf>
    <xf numFmtId="0" fontId="39" fillId="4" borderId="17" applyAlignment="1" pivotButton="0" quotePrefix="0" xfId="0">
      <alignment horizontal="center" vertical="center"/>
    </xf>
    <xf numFmtId="3" fontId="39" fillId="5" borderId="13" applyAlignment="1" pivotButton="0" quotePrefix="0" xfId="0">
      <alignment horizontal="right" vertical="center"/>
    </xf>
    <xf numFmtId="0" fontId="39" fillId="4" borderId="18" applyAlignment="1" pivotButton="0" quotePrefix="0" xfId="0">
      <alignment horizontal="center" vertical="center"/>
    </xf>
    <xf numFmtId="0" fontId="39" fillId="4" borderId="19" applyAlignment="1" pivotButton="0" quotePrefix="0" xfId="0">
      <alignment vertical="center" wrapText="1"/>
    </xf>
    <xf numFmtId="0" fontId="39" fillId="4" borderId="20" applyAlignment="1" pivotButton="0" quotePrefix="0" xfId="0">
      <alignment horizontal="center" vertical="center"/>
    </xf>
    <xf numFmtId="3" fontId="39" fillId="4" borderId="18" applyAlignment="1" pivotButton="0" quotePrefix="0" xfId="0">
      <alignment horizontal="right" vertical="center"/>
    </xf>
    <xf numFmtId="0" fontId="39" fillId="4" borderId="19" applyAlignment="1" pivotButton="0" quotePrefix="0" xfId="0">
      <alignment horizontal="center" vertical="center"/>
    </xf>
    <xf numFmtId="3" fontId="39" fillId="4" borderId="19" applyAlignment="1" pivotButton="0" quotePrefix="0" xfId="0">
      <alignment horizontal="right" vertical="center"/>
    </xf>
    <xf numFmtId="3" fontId="38" fillId="4" borderId="19" applyAlignment="1" pivotButton="0" quotePrefix="0" xfId="0">
      <alignment horizontal="right" vertical="center"/>
    </xf>
    <xf numFmtId="0" fontId="40" fillId="4" borderId="0" applyAlignment="1" pivotButton="0" quotePrefix="0" xfId="0">
      <alignment vertical="center"/>
    </xf>
    <xf numFmtId="0" fontId="3" fillId="0" borderId="0" applyAlignment="1" pivotButton="0" quotePrefix="0" xfId="0">
      <alignment horizontal="center"/>
    </xf>
    <xf numFmtId="0" fontId="5" fillId="0" borderId="0" applyAlignment="1" pivotButton="0" quotePrefix="0" xfId="0">
      <alignment horizontal="center" vertical="center"/>
    </xf>
    <xf numFmtId="0" fontId="12" fillId="0" borderId="0" applyAlignment="1" pivotButton="0" quotePrefix="0" xfId="0">
      <alignment horizontal="center" vertical="center" wrapText="1"/>
    </xf>
    <xf numFmtId="0" fontId="12" fillId="0" borderId="0" applyAlignment="1" pivotButton="0" quotePrefix="0" xfId="0">
      <alignment vertical="center" wrapText="1"/>
    </xf>
    <xf numFmtId="0" fontId="5" fillId="0" borderId="0" applyAlignment="1" pivotButton="0" quotePrefix="0" xfId="0">
      <alignment vertical="center"/>
    </xf>
    <xf numFmtId="0" fontId="8" fillId="0" borderId="0" applyAlignment="1" pivotButton="0" quotePrefix="0" xfId="0">
      <alignment horizontal="center" vertical="center"/>
    </xf>
    <xf numFmtId="0" fontId="2" fillId="0" borderId="0" applyAlignment="1" pivotButton="0" quotePrefix="0" xfId="0">
      <alignment horizontal="center" vertical="center"/>
    </xf>
    <xf numFmtId="0" fontId="2" fillId="0" borderId="0" applyAlignment="1" pivotButton="0" quotePrefix="0" xfId="0">
      <alignment horizontal="center" vertical="center" wrapText="1"/>
    </xf>
    <xf numFmtId="0" fontId="1" fillId="0" borderId="0" applyAlignment="1" pivotButton="0" quotePrefix="0" xfId="0">
      <alignment horizontal="center" vertical="center" wrapText="1"/>
    </xf>
    <xf numFmtId="0" fontId="3" fillId="0" borderId="0" applyAlignment="1" pivotButton="0" quotePrefix="0" xfId="0">
      <alignment horizontal="center"/>
    </xf>
    <xf numFmtId="0" fontId="5" fillId="0" borderId="0" applyAlignment="1" pivotButton="0" quotePrefix="0" xfId="0">
      <alignment horizontal="center" vertical="center"/>
    </xf>
    <xf numFmtId="0" fontId="13" fillId="0" borderId="0" applyAlignment="1" pivotButton="0" quotePrefix="0" xfId="0">
      <alignment horizontal="left" vertical="center" wrapText="1"/>
    </xf>
    <xf numFmtId="0" fontId="12" fillId="0" borderId="0" applyAlignment="1" pivotButton="0" quotePrefix="0" xfId="0">
      <alignment horizontal="center" vertical="center" wrapText="1"/>
    </xf>
    <xf numFmtId="0" fontId="13" fillId="0" borderId="3" applyAlignment="1" pivotButton="0" quotePrefix="0" xfId="0">
      <alignment horizontal="left" vertical="center" wrapText="1"/>
    </xf>
    <xf numFmtId="0" fontId="0" fillId="0" borderId="3" applyAlignment="1" pivotButton="0" quotePrefix="0" xfId="0">
      <alignment vertical="center" wrapText="1"/>
    </xf>
    <xf numFmtId="0" fontId="2" fillId="0" borderId="0" applyAlignment="1" pivotButton="0" quotePrefix="0" xfId="0">
      <alignment horizontal="center"/>
    </xf>
    <xf numFmtId="0" fontId="3" fillId="0" borderId="4" applyAlignment="1" pivotButton="0" quotePrefix="0" xfId="0">
      <alignment horizontal="center" vertical="center"/>
    </xf>
    <xf numFmtId="0" fontId="3" fillId="0" borderId="5" applyAlignment="1" pivotButton="0" quotePrefix="0" xfId="0">
      <alignment horizontal="center" vertical="center"/>
    </xf>
    <xf numFmtId="0" fontId="3" fillId="0" borderId="4" applyAlignment="1" pivotButton="0" quotePrefix="0" xfId="0">
      <alignment horizontal="center"/>
    </xf>
    <xf numFmtId="0" fontId="3" fillId="0" borderId="5" applyAlignment="1" pivotButton="0" quotePrefix="0" xfId="0">
      <alignment horizontal="center"/>
    </xf>
    <xf numFmtId="0" fontId="8" fillId="0" borderId="0" applyAlignment="1" pivotButton="0" quotePrefix="0" xfId="0">
      <alignment horizontal="center"/>
    </xf>
    <xf numFmtId="0" fontId="0" fillId="0" borderId="0" applyAlignment="1" pivotButton="0" quotePrefix="0" xfId="0">
      <alignment horizontal="left" vertical="center" wrapText="1"/>
    </xf>
    <xf numFmtId="0" fontId="3" fillId="0" borderId="0" applyAlignment="1" pivotButton="0" quotePrefix="0" xfId="0">
      <alignment horizontal="center" vertical="center" wrapText="1"/>
    </xf>
    <xf numFmtId="0" fontId="8" fillId="0" borderId="0" applyAlignment="1" pivotButton="0" quotePrefix="0" xfId="0">
      <alignment horizontal="left" vertical="center" wrapText="1"/>
    </xf>
    <xf numFmtId="0" fontId="8" fillId="0" borderId="0" applyAlignment="1" pivotButton="0" quotePrefix="0" xfId="0">
      <alignment horizontal="left" vertical="center"/>
    </xf>
    <xf numFmtId="0" fontId="7" fillId="0" borderId="0" applyAlignment="1" pivotButton="0" quotePrefix="0" xfId="0">
      <alignment horizontal="center" vertical="center"/>
    </xf>
    <xf numFmtId="0" fontId="24" fillId="0" borderId="0" applyAlignment="1" pivotButton="0" quotePrefix="0" xfId="0">
      <alignment horizontal="center" vertical="center" wrapText="1"/>
    </xf>
    <xf numFmtId="0" fontId="29" fillId="2" borderId="2" applyAlignment="1" pivotButton="0" quotePrefix="0" xfId="0">
      <alignment horizontal="left" vertical="center" wrapText="1"/>
    </xf>
    <xf numFmtId="0" fontId="29" fillId="2" borderId="12" applyAlignment="1" pivotButton="0" quotePrefix="0" xfId="0">
      <alignment horizontal="left" vertical="center" wrapText="1"/>
    </xf>
    <xf numFmtId="0" fontId="29" fillId="2" borderId="1" applyAlignment="1" pivotButton="0" quotePrefix="0" xfId="0">
      <alignment horizontal="center" vertical="center" wrapText="1"/>
    </xf>
    <xf numFmtId="0" fontId="29" fillId="2" borderId="11" applyAlignment="1" pivotButton="0" quotePrefix="0" xfId="0">
      <alignment horizontal="center" vertical="center" wrapText="1"/>
    </xf>
    <xf numFmtId="0" fontId="28" fillId="0" borderId="4" applyAlignment="1" pivotButton="0" quotePrefix="0" xfId="0">
      <alignment horizontal="center" vertical="center" wrapText="1"/>
    </xf>
    <xf numFmtId="0" fontId="28" fillId="0" borderId="6" applyAlignment="1" pivotButton="0" quotePrefix="0" xfId="0">
      <alignment horizontal="center" vertical="center" wrapText="1"/>
    </xf>
    <xf numFmtId="0" fontId="4" fillId="0" borderId="0" applyAlignment="1" pivotButton="0" quotePrefix="0" xfId="0">
      <alignment horizontal="center" vertical="center" wrapText="1"/>
    </xf>
    <xf numFmtId="0" fontId="8" fillId="0" borderId="0" applyAlignment="1" pivotButton="0" quotePrefix="0" xfId="0">
      <alignment horizontal="center" vertical="center" wrapText="1"/>
    </xf>
    <xf numFmtId="0" fontId="25" fillId="0" borderId="0" applyAlignment="1" pivotButton="0" quotePrefix="0" xfId="0">
      <alignment horizontal="center" vertical="center"/>
    </xf>
    <xf numFmtId="0" fontId="28" fillId="0" borderId="7" applyAlignment="1" pivotButton="0" quotePrefix="0" xfId="0">
      <alignment horizontal="center" vertical="center" wrapText="1"/>
    </xf>
    <xf numFmtId="0" fontId="28" fillId="0" borderId="8" applyAlignment="1" pivotButton="0" quotePrefix="0" xfId="0">
      <alignment horizontal="center" vertical="center" wrapText="1"/>
    </xf>
    <xf numFmtId="0" fontId="28" fillId="0" borderId="9" applyAlignment="1" pivotButton="0" quotePrefix="0" xfId="0">
      <alignment horizontal="center" vertical="center" wrapText="1"/>
    </xf>
    <xf numFmtId="0" fontId="28" fillId="0" borderId="10" applyAlignment="1" pivotButton="0" quotePrefix="0" xfId="0">
      <alignment horizontal="center" vertical="center" wrapText="1"/>
    </xf>
    <xf numFmtId="0" fontId="29" fillId="2" borderId="2" applyAlignment="1" pivotButton="0" quotePrefix="0" xfId="0">
      <alignment horizontal="center" vertical="center" wrapText="1"/>
    </xf>
    <xf numFmtId="0" fontId="29" fillId="2" borderId="2" applyAlignment="1" pivotButton="0" quotePrefix="0" xfId="0">
      <alignment horizontal="center" vertical="center"/>
    </xf>
    <xf numFmtId="0" fontId="29" fillId="2" borderId="4" applyAlignment="1" pivotButton="0" quotePrefix="0" xfId="0">
      <alignment horizontal="left" vertical="center" wrapText="1"/>
    </xf>
    <xf numFmtId="0" fontId="29" fillId="2" borderId="6" applyAlignment="1" pivotButton="0" quotePrefix="0" xfId="0">
      <alignment horizontal="left" vertical="center" wrapText="1"/>
    </xf>
    <xf numFmtId="0" fontId="29" fillId="2" borderId="12" applyAlignment="1" pivotButton="0" quotePrefix="0" xfId="0">
      <alignment horizontal="center" vertical="center" wrapText="1"/>
    </xf>
    <xf numFmtId="0" fontId="34" fillId="2" borderId="2" applyAlignment="1" pivotButton="0" quotePrefix="0" xfId="0">
      <alignment horizontal="center" vertical="center" wrapText="1"/>
    </xf>
    <xf numFmtId="0" fontId="8" fillId="0" borderId="0" applyAlignment="1" pivotButton="0" quotePrefix="0" xfId="0">
      <alignment horizontal="left" vertical="center" wrapText="1"/>
    </xf>
    <xf numFmtId="0" fontId="3" fillId="0" borderId="0" applyAlignment="1" pivotButton="0" quotePrefix="0" xfId="0">
      <alignment horizontal="left" vertical="center" wrapText="1"/>
    </xf>
    <xf numFmtId="0" fontId="39" fillId="4" borderId="0" applyAlignment="1" pivotButton="0" quotePrefix="0" xfId="0">
      <alignment horizontal="left" vertical="center" wrapText="1" indent="2"/>
    </xf>
    <xf numFmtId="0" fontId="39" fillId="4" borderId="0" applyAlignment="1" pivotButton="0" quotePrefix="0" xfId="0">
      <alignment horizontal="justify" vertical="center" wrapText="1"/>
    </xf>
    <xf numFmtId="0" fontId="38" fillId="4" borderId="0" applyAlignment="1" pivotButton="0" quotePrefix="0" xfId="0">
      <alignment vertical="center" wrapText="1"/>
    </xf>
    <xf numFmtId="0" fontId="38" fillId="4" borderId="0" applyAlignment="1" pivotButton="0" quotePrefix="0" xfId="0">
      <alignment horizontal="left" vertical="center" wrapText="1" indent="2"/>
    </xf>
    <xf numFmtId="0" fontId="41" fillId="0" borderId="0" applyAlignment="1" pivotButton="0" quotePrefix="0" xfId="0">
      <alignment horizontal="center" vertical="center"/>
    </xf>
    <xf numFmtId="0" fontId="41" fillId="0" borderId="31" applyAlignment="1" pivotButton="0" quotePrefix="0" xfId="0">
      <alignment horizontal="center" vertical="center"/>
    </xf>
    <xf numFmtId="165" fontId="41" fillId="0" borderId="31" applyAlignment="1" pivotButton="0" quotePrefix="0" xfId="0">
      <alignment horizontal="center" vertical="center"/>
    </xf>
    <xf numFmtId="0" fontId="42" fillId="0" borderId="31" applyAlignment="1" pivotButton="0" quotePrefix="0" xfId="0">
      <alignment horizontal="center" vertical="center"/>
    </xf>
    <xf numFmtId="0" fontId="0" fillId="0" borderId="3" pivotButton="0" quotePrefix="0" xfId="0"/>
    <xf numFmtId="0" fontId="0" fillId="0" borderId="5" pivotButton="0" quotePrefix="0" xfId="0"/>
    <xf numFmtId="0" fontId="28" fillId="0" borderId="21" applyAlignment="1" pivotButton="0" quotePrefix="0" xfId="0">
      <alignment horizontal="center" vertical="center" wrapText="1"/>
    </xf>
    <xf numFmtId="0" fontId="0" fillId="0" borderId="8" pivotButton="0" quotePrefix="0" xfId="0"/>
    <xf numFmtId="0" fontId="0" fillId="0" borderId="29" pivotButton="0" quotePrefix="0" xfId="0"/>
    <xf numFmtId="0" fontId="0" fillId="0" borderId="30" pivotButton="0" quotePrefix="0" xfId="0"/>
    <xf numFmtId="0" fontId="0" fillId="0" borderId="9" pivotButton="0" quotePrefix="0" xfId="0"/>
    <xf numFmtId="0" fontId="0" fillId="0" borderId="10" pivotButton="0" quotePrefix="0" xfId="0"/>
    <xf numFmtId="0" fontId="0" fillId="0" borderId="26" pivotButton="0" quotePrefix="0" xfId="0"/>
    <xf numFmtId="0" fontId="0" fillId="0" borderId="6" pivotButton="0" quotePrefix="0" xfId="0"/>
    <xf numFmtId="0" fontId="0" fillId="0" borderId="11" pivotButton="0" quotePrefix="0" xfId="0"/>
    <xf numFmtId="0" fontId="29" fillId="2" borderId="21" applyAlignment="1" pivotButton="0" quotePrefix="0" xfId="0">
      <alignment horizontal="center" vertical="center" wrapText="1"/>
    </xf>
    <xf numFmtId="0" fontId="0" fillId="0" borderId="12" pivotButton="0" quotePrefix="0" xfId="0"/>
    <xf numFmtId="0" fontId="29" fillId="2" borderId="21" applyAlignment="1" pivotButton="0" quotePrefix="0" xfId="0">
      <alignment horizontal="left" vertical="center" wrapText="1"/>
    </xf>
    <xf numFmtId="165" fontId="41" fillId="0" borderId="31" applyAlignment="1" pivotButton="0" quotePrefix="0" xfId="0">
      <alignment horizontal="center" vertical="center"/>
    </xf>
    <xf numFmtId="0" fontId="42" fillId="0" borderId="31" applyAlignment="1" pivotButton="0" quotePrefix="0" xfId="0">
      <alignment horizontal="center"/>
    </xf>
    <xf numFmtId="2" fontId="41" fillId="0" borderId="31" applyAlignment="1" pivotButton="0" quotePrefix="0" xfId="0">
      <alignment horizontal="center" vertical="center"/>
    </xf>
    <xf numFmtId="2" fontId="42" fillId="0" borderId="31" applyAlignment="1" pivotButton="0" quotePrefix="0" xfId="0">
      <alignment horizontal="center" vertical="center"/>
    </xf>
    <xf numFmtId="2" fontId="4" fillId="0" borderId="21" applyAlignment="1" pivotButton="0" quotePrefix="0" xfId="0">
      <alignment horizontal="center"/>
    </xf>
    <xf numFmtId="4" fontId="42" fillId="0" borderId="21" applyAlignment="1" pivotButton="0" quotePrefix="0" xfId="0">
      <alignment horizontal="center" vertical="center"/>
    </xf>
    <xf numFmtId="4" fontId="41" fillId="0" borderId="31" applyAlignment="1" pivotButton="0" quotePrefix="0" xfId="0">
      <alignment horizontal="center" vertical="center"/>
    </xf>
    <xf numFmtId="166" fontId="41" fillId="0" borderId="31" applyAlignment="1" pivotButton="0" quotePrefix="0" xfId="0">
      <alignment horizontal="center" vertical="center"/>
    </xf>
    <xf numFmtId="4" fontId="42" fillId="0" borderId="31" applyAlignment="1" pivotButton="0" quotePrefix="0" xfId="0">
      <alignment horizontal="center" vertical="center"/>
    </xf>
    <xf numFmtId="167" fontId="41" fillId="0" borderId="31" applyAlignment="1" pivotButton="0" quotePrefix="0" xfId="0">
      <alignment horizontal="center" vertical="center"/>
    </xf>
    <xf numFmtId="166" fontId="41" fillId="0" borderId="31" applyAlignment="1" pivotButton="0" quotePrefix="0" xfId="0">
      <alignment horizontal="center" vertical="center"/>
    </xf>
    <xf numFmtId="167" fontId="41" fillId="0" borderId="31" applyAlignment="1" pivotButton="0" quotePrefix="0" xfId="0">
      <alignment horizontal="center"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I389"/>
  <sheetViews>
    <sheetView workbookViewId="0">
      <selection activeCell="E7" sqref="E7"/>
    </sheetView>
  </sheetViews>
  <sheetFormatPr baseColWidth="8" defaultRowHeight="14.4"/>
  <cols>
    <col width="8.88671875" customWidth="1" style="132" min="1" max="1"/>
    <col width="24.77734375" customWidth="1" style="132" min="2" max="3"/>
    <col width="24.44140625" customWidth="1" style="132" min="4" max="4"/>
    <col width="24.77734375" customWidth="1" style="132" min="5" max="6"/>
    <col width="21.88671875" customWidth="1" style="132" min="7" max="7"/>
    <col width="24.33203125" customWidth="1" style="132" min="8" max="8"/>
    <col width="21.88671875" customWidth="1" style="132" min="9" max="9"/>
    <col width="8.88671875" customWidth="1" style="132" min="10" max="16384"/>
  </cols>
  <sheetData>
    <row r="1" ht="48.75" customHeight="1" s="132">
      <c r="B1" s="175" t="n"/>
      <c r="C1" s="175" t="n"/>
      <c r="D1" s="55" t="n"/>
      <c r="E1" s="174" t="inlineStr">
        <is>
          <t>«Həyat sığortası və qeyri-həyat sığortası
üzrə sığorta ehtiyatlarının formalaşdırılması
Qaydaları»na Əlavə № 3</t>
        </is>
      </c>
    </row>
    <row r="2" ht="18" customHeight="1" s="132">
      <c r="B2" s="189" t="inlineStr">
        <is>
          <t>Forma № 8-1</t>
        </is>
      </c>
      <c r="C2" s="189" t="n"/>
      <c r="D2" s="32" t="n"/>
      <c r="E2" s="200" t="n"/>
    </row>
    <row r="3" ht="18.75" customHeight="1" s="132">
      <c r="B3" s="175" t="inlineStr">
        <is>
          <t>Baza sığorta haqqı</t>
        </is>
      </c>
    </row>
    <row r="4" ht="17.4" customHeight="1" s="132">
      <c r="B4" s="176" t="n">
        <v>0</v>
      </c>
    </row>
    <row r="5" ht="15.6" customHeight="1" s="132">
      <c r="B5" s="177" t="inlineStr">
        <is>
          <t xml:space="preserve">    (sığortaçının (təkrarsığortaçının)  adı)</t>
        </is>
      </c>
    </row>
    <row r="6" ht="17.4" customHeight="1" s="132">
      <c r="B6" s="11" t="n"/>
      <c r="C6" s="11" t="n"/>
      <c r="D6" s="12" t="inlineStr">
        <is>
          <t>01.01.2026</t>
        </is>
      </c>
      <c r="E6" s="11" t="inlineStr">
        <is>
          <t xml:space="preserve"> -cı il  tarixə</t>
        </is>
      </c>
      <c r="F6" s="11" t="n"/>
    </row>
    <row r="7" ht="17.4" customHeight="1" s="132">
      <c r="B7" s="13" t="n"/>
      <c r="C7" s="13" t="n"/>
      <c r="D7" s="13" t="n"/>
      <c r="E7" s="13" t="n"/>
      <c r="F7" s="13" t="n"/>
    </row>
    <row r="8" ht="18" customHeight="1" s="132">
      <c r="B8" s="14" t="inlineStr">
        <is>
          <t>Sığortanın sinifi ____________________________</t>
        </is>
      </c>
      <c r="C8" s="219" t="inlineStr">
        <is>
          <t>(21)UmumiMulkiMesuliyy</t>
        </is>
      </c>
      <c r="D8" s="15" t="n"/>
      <c r="E8" s="13" t="n"/>
      <c r="F8" s="13" t="n"/>
    </row>
    <row r="9" ht="18" customHeight="1" s="132">
      <c r="B9" s="71" t="n"/>
      <c r="C9" s="71" t="n"/>
      <c r="D9" s="71" t="n"/>
      <c r="E9" s="71" t="n"/>
      <c r="F9" s="71" t="n"/>
    </row>
    <row r="10" ht="154.8" customHeight="1" s="132">
      <c r="B10" s="17" t="inlineStr">
        <is>
          <t>Sığorta müqavilələri</t>
        </is>
      </c>
      <c r="C10" s="17" t="inlineStr">
        <is>
          <t>Sığorta müqaviləsinin bağlandığı tarix</t>
        </is>
      </c>
      <c r="D10" s="17" t="inlineStr">
        <is>
          <t>Hesablanmış sığorta haqqı</t>
        </is>
      </c>
      <c r="E10" s="17" t="inlineStr">
        <is>
          <t>Komisyon muzdu (hesablanmış sığorta haqqının 15 %-dən çox olmamaqla)</t>
        </is>
      </c>
      <c r="F10" s="18" t="inlineStr">
        <is>
          <t>Baza sığorta haqqı (süt.2-süt.3)</t>
        </is>
      </c>
      <c r="G10" s="18" t="inlineStr">
        <is>
          <t>Hesablanmış sığorta haqqının katastrofik risk təminatına düşən hissəsi</t>
        </is>
      </c>
      <c r="H10" s="18" t="inlineStr">
        <is>
          <t>Katastrofik risk təminatı üzrə komisyon muzd (hesablanmış sığorta haqqının katastrofik risk təminatına düşən hissəsinin 15%-dən çox olmamaqla)</t>
        </is>
      </c>
      <c r="I10" s="18" t="inlineStr">
        <is>
          <t>Baza sığorta haqqının katastrofik risk təminatına düşən hissəsi
(VI-VII)</t>
        </is>
      </c>
    </row>
    <row r="11" ht="17.4" customHeight="1" s="132">
      <c r="A11" t="inlineStr">
        <is>
          <t>A</t>
        </is>
      </c>
      <c r="B11" s="19" t="inlineStr">
        <is>
          <t>I</t>
        </is>
      </c>
      <c r="C11" s="19" t="inlineStr">
        <is>
          <t>II</t>
        </is>
      </c>
      <c r="D11" s="19" t="inlineStr">
        <is>
          <t>III</t>
        </is>
      </c>
      <c r="E11" s="19" t="inlineStr">
        <is>
          <t>IV</t>
        </is>
      </c>
      <c r="F11" s="19" t="inlineStr">
        <is>
          <t>V</t>
        </is>
      </c>
      <c r="G11" s="19" t="inlineStr">
        <is>
          <t>VI</t>
        </is>
      </c>
      <c r="H11" s="19" t="inlineStr">
        <is>
          <t>VII</t>
        </is>
      </c>
      <c r="I11" s="19" t="inlineStr">
        <is>
          <t>VIII</t>
        </is>
      </c>
    </row>
    <row r="12" ht="28" customHeight="1" s="132">
      <c r="A12" s="220" t="inlineStr">
        <is>
          <t>A1</t>
        </is>
      </c>
      <c r="B12" s="220" t="inlineStr">
        <is>
          <t>LCC-2403820</t>
        </is>
      </c>
      <c r="C12" s="237" t="n">
        <v>45516</v>
      </c>
      <c r="D12" s="220" t="n">
        <v>4895.29</v>
      </c>
      <c r="E12" s="220" t="n">
        <v>734.29</v>
      </c>
      <c r="F12" s="220" t="n">
        <v>4161</v>
      </c>
      <c r="G12" s="220" t="n">
        <v>0</v>
      </c>
      <c r="H12" s="220" t="n">
        <v>0</v>
      </c>
      <c r="I12" s="220" t="n">
        <v>0</v>
      </c>
    </row>
    <row r="13" ht="28" customHeight="1" s="132">
      <c r="A13" s="220" t="inlineStr">
        <is>
          <t>A2</t>
        </is>
      </c>
      <c r="B13" s="220" t="inlineStr">
        <is>
          <t>LCC-2403861</t>
        </is>
      </c>
      <c r="C13" s="237" t="n">
        <v>45567</v>
      </c>
      <c r="D13" s="220" t="n">
        <v>210</v>
      </c>
      <c r="E13" s="220" t="n">
        <v>31.5</v>
      </c>
      <c r="F13" s="220" t="n">
        <v>178.5</v>
      </c>
      <c r="G13" s="220" t="n">
        <v>0</v>
      </c>
      <c r="H13" s="220" t="n">
        <v>0</v>
      </c>
      <c r="I13" s="220" t="n">
        <v>0</v>
      </c>
    </row>
    <row r="14" ht="28" customHeight="1" s="132">
      <c r="A14" s="220" t="inlineStr">
        <is>
          <t>A3</t>
        </is>
      </c>
      <c r="B14" s="220" t="inlineStr">
        <is>
          <t>LCC-2403862</t>
        </is>
      </c>
      <c r="C14" s="237" t="n">
        <v>45569</v>
      </c>
      <c r="D14" s="220" t="n">
        <v>1300</v>
      </c>
      <c r="E14" s="220" t="n">
        <v>195</v>
      </c>
      <c r="F14" s="220" t="n">
        <v>1105</v>
      </c>
      <c r="G14" s="220" t="n">
        <v>0</v>
      </c>
      <c r="H14" s="220" t="n">
        <v>0</v>
      </c>
      <c r="I14" s="220" t="n">
        <v>0</v>
      </c>
    </row>
    <row r="15" ht="28" customHeight="1" s="132">
      <c r="A15" s="220" t="inlineStr">
        <is>
          <t>A4</t>
        </is>
      </c>
      <c r="B15" s="220" t="inlineStr">
        <is>
          <t>LCC-2403867</t>
        </is>
      </c>
      <c r="C15" s="237" t="n">
        <v>45573</v>
      </c>
      <c r="D15" s="220" t="n">
        <v>210</v>
      </c>
      <c r="E15" s="220" t="n">
        <v>31.5</v>
      </c>
      <c r="F15" s="220" t="n">
        <v>178.5</v>
      </c>
      <c r="G15" s="220" t="n">
        <v>0</v>
      </c>
      <c r="H15" s="220" t="n">
        <v>0</v>
      </c>
      <c r="I15" s="220" t="n">
        <v>0</v>
      </c>
    </row>
    <row r="16" ht="28" customHeight="1" s="132">
      <c r="A16" s="220" t="inlineStr">
        <is>
          <t>A5</t>
        </is>
      </c>
      <c r="B16" s="220" t="inlineStr">
        <is>
          <t>LCC-2403868</t>
        </is>
      </c>
      <c r="C16" s="237" t="n">
        <v>45574</v>
      </c>
      <c r="D16" s="220" t="n">
        <v>210</v>
      </c>
      <c r="E16" s="220" t="n">
        <v>31.5</v>
      </c>
      <c r="F16" s="220" t="n">
        <v>178.5</v>
      </c>
      <c r="G16" s="220" t="n">
        <v>0</v>
      </c>
      <c r="H16" s="220" t="n">
        <v>0</v>
      </c>
      <c r="I16" s="220" t="n">
        <v>0</v>
      </c>
    </row>
    <row r="17" ht="28" customHeight="1" s="132">
      <c r="A17" s="220" t="inlineStr">
        <is>
          <t>A6</t>
        </is>
      </c>
      <c r="B17" s="220" t="inlineStr">
        <is>
          <t>LCC-2403870</t>
        </is>
      </c>
      <c r="C17" s="237" t="n">
        <v>45574</v>
      </c>
      <c r="D17" s="220" t="n">
        <v>210</v>
      </c>
      <c r="E17" s="220" t="n">
        <v>31.5</v>
      </c>
      <c r="F17" s="220" t="n">
        <v>178.5</v>
      </c>
      <c r="G17" s="220" t="n">
        <v>0</v>
      </c>
      <c r="H17" s="220" t="n">
        <v>0</v>
      </c>
      <c r="I17" s="220" t="n">
        <v>0</v>
      </c>
    </row>
    <row r="18" ht="28" customHeight="1" s="132">
      <c r="A18" s="220" t="inlineStr">
        <is>
          <t>A7</t>
        </is>
      </c>
      <c r="B18" s="220" t="inlineStr">
        <is>
          <t>LCC-2403869</t>
        </is>
      </c>
      <c r="C18" s="237" t="n">
        <v>45574</v>
      </c>
      <c r="D18" s="220" t="n">
        <v>210</v>
      </c>
      <c r="E18" s="220" t="n">
        <v>31.5</v>
      </c>
      <c r="F18" s="220" t="n">
        <v>178.5</v>
      </c>
      <c r="G18" s="220" t="n">
        <v>0</v>
      </c>
      <c r="H18" s="220" t="n">
        <v>0</v>
      </c>
      <c r="I18" s="220" t="n">
        <v>0</v>
      </c>
    </row>
    <row r="19" ht="28" customHeight="1" s="132">
      <c r="A19" s="220" t="inlineStr">
        <is>
          <t>A8</t>
        </is>
      </c>
      <c r="B19" s="220" t="inlineStr">
        <is>
          <t>LCC-2403874</t>
        </is>
      </c>
      <c r="C19" s="237" t="n">
        <v>45576</v>
      </c>
      <c r="D19" s="220" t="n">
        <v>210</v>
      </c>
      <c r="E19" s="220" t="n">
        <v>31.5</v>
      </c>
      <c r="F19" s="220" t="n">
        <v>178.5</v>
      </c>
      <c r="G19" s="220" t="n">
        <v>0</v>
      </c>
      <c r="H19" s="220" t="n">
        <v>0</v>
      </c>
      <c r="I19" s="220" t="n">
        <v>0</v>
      </c>
    </row>
    <row r="20" ht="28" customHeight="1" s="132">
      <c r="A20" s="220" t="inlineStr">
        <is>
          <t>A9</t>
        </is>
      </c>
      <c r="B20" s="220" t="inlineStr">
        <is>
          <t>LCC-2403882</t>
        </is>
      </c>
      <c r="C20" s="237" t="n">
        <v>45580</v>
      </c>
      <c r="D20" s="220" t="n">
        <v>210</v>
      </c>
      <c r="E20" s="220" t="n">
        <v>31.5</v>
      </c>
      <c r="F20" s="220" t="n">
        <v>178.5</v>
      </c>
      <c r="G20" s="220" t="n">
        <v>0</v>
      </c>
      <c r="H20" s="220" t="n">
        <v>0</v>
      </c>
      <c r="I20" s="220" t="n">
        <v>0</v>
      </c>
    </row>
    <row r="21" ht="28" customHeight="1" s="132">
      <c r="A21" s="220" t="inlineStr">
        <is>
          <t>A10</t>
        </is>
      </c>
      <c r="B21" s="220" t="inlineStr">
        <is>
          <t>LCC-2403881</t>
        </is>
      </c>
      <c r="C21" s="237" t="n">
        <v>45580</v>
      </c>
      <c r="D21" s="220" t="n">
        <v>500</v>
      </c>
      <c r="E21" s="220" t="n">
        <v>75</v>
      </c>
      <c r="F21" s="220" t="n">
        <v>425</v>
      </c>
      <c r="G21" s="220" t="n">
        <v>0</v>
      </c>
      <c r="H21" s="220" t="n">
        <v>0</v>
      </c>
      <c r="I21" s="220" t="n">
        <v>0</v>
      </c>
    </row>
    <row r="22" ht="28" customHeight="1" s="132">
      <c r="A22" s="220" t="inlineStr">
        <is>
          <t>A11</t>
        </is>
      </c>
      <c r="B22" s="220" t="inlineStr">
        <is>
          <t>LCC-2403883</t>
        </is>
      </c>
      <c r="C22" s="237" t="n">
        <v>45581</v>
      </c>
      <c r="D22" s="220" t="n">
        <v>2313.75</v>
      </c>
      <c r="E22" s="220" t="n">
        <v>347.06</v>
      </c>
      <c r="F22" s="220" t="n">
        <v>1966.69</v>
      </c>
      <c r="G22" s="220" t="n">
        <v>0</v>
      </c>
      <c r="H22" s="220" t="n">
        <v>0</v>
      </c>
      <c r="I22" s="220" t="n">
        <v>0</v>
      </c>
    </row>
    <row r="23" ht="28" customHeight="1" s="132">
      <c r="A23" s="220" t="inlineStr">
        <is>
          <t>A12</t>
        </is>
      </c>
      <c r="B23" s="220" t="inlineStr">
        <is>
          <t>LCC-2403884</t>
        </is>
      </c>
      <c r="C23" s="237" t="n">
        <v>45582</v>
      </c>
      <c r="D23" s="220" t="n">
        <v>210</v>
      </c>
      <c r="E23" s="220" t="n">
        <v>31.5</v>
      </c>
      <c r="F23" s="220" t="n">
        <v>178.5</v>
      </c>
      <c r="G23" s="220" t="n">
        <v>0</v>
      </c>
      <c r="H23" s="220" t="n">
        <v>0</v>
      </c>
      <c r="I23" s="220" t="n">
        <v>0</v>
      </c>
    </row>
    <row r="24" ht="28" customHeight="1" s="132">
      <c r="A24" s="220" t="inlineStr">
        <is>
          <t>A13</t>
        </is>
      </c>
      <c r="B24" s="220" t="inlineStr">
        <is>
          <t>LCC-2403886</t>
        </is>
      </c>
      <c r="C24" s="237" t="n">
        <v>45582</v>
      </c>
      <c r="D24" s="220" t="n">
        <v>210</v>
      </c>
      <c r="E24" s="220" t="n">
        <v>31.5</v>
      </c>
      <c r="F24" s="220" t="n">
        <v>178.5</v>
      </c>
      <c r="G24" s="220" t="n">
        <v>0</v>
      </c>
      <c r="H24" s="220" t="n">
        <v>0</v>
      </c>
      <c r="I24" s="220" t="n">
        <v>0</v>
      </c>
    </row>
    <row r="25" ht="28" customHeight="1" s="132">
      <c r="A25" s="220" t="inlineStr">
        <is>
          <t>A14</t>
        </is>
      </c>
      <c r="B25" s="220" t="inlineStr">
        <is>
          <t>LCC-2403888</t>
        </is>
      </c>
      <c r="C25" s="237" t="n">
        <v>45586</v>
      </c>
      <c r="D25" s="220" t="n">
        <v>850</v>
      </c>
      <c r="E25" s="220" t="n">
        <v>127.5</v>
      </c>
      <c r="F25" s="220" t="n">
        <v>722.5</v>
      </c>
      <c r="G25" s="220" t="n">
        <v>0</v>
      </c>
      <c r="H25" s="220" t="n">
        <v>0</v>
      </c>
      <c r="I25" s="220" t="n">
        <v>0</v>
      </c>
    </row>
    <row r="26" ht="28" customHeight="1" s="132">
      <c r="A26" s="220" t="inlineStr">
        <is>
          <t>A15</t>
        </is>
      </c>
      <c r="B26" s="220" t="inlineStr">
        <is>
          <t>LCC-2403887</t>
        </is>
      </c>
      <c r="C26" s="237" t="n">
        <v>45587</v>
      </c>
      <c r="D26" s="220" t="n">
        <v>890</v>
      </c>
      <c r="E26" s="220" t="n">
        <v>133.5</v>
      </c>
      <c r="F26" s="220" t="n">
        <v>756.5</v>
      </c>
      <c r="G26" s="220" t="n">
        <v>0</v>
      </c>
      <c r="H26" s="220" t="n">
        <v>0</v>
      </c>
      <c r="I26" s="220" t="n">
        <v>0</v>
      </c>
    </row>
    <row r="27" ht="28" customHeight="1" s="132">
      <c r="A27" s="220" t="inlineStr">
        <is>
          <t>A16</t>
        </is>
      </c>
      <c r="B27" s="220" t="inlineStr">
        <is>
          <t>LCP-2403890</t>
        </is>
      </c>
      <c r="C27" s="237" t="n">
        <v>45587</v>
      </c>
      <c r="D27" s="220" t="n">
        <v>400</v>
      </c>
      <c r="E27" s="220" t="n">
        <v>60</v>
      </c>
      <c r="F27" s="220" t="n">
        <v>340</v>
      </c>
      <c r="G27" s="220" t="n">
        <v>0</v>
      </c>
      <c r="H27" s="220" t="n">
        <v>0</v>
      </c>
      <c r="I27" s="220" t="n">
        <v>0</v>
      </c>
    </row>
    <row r="28" ht="28" customHeight="1" s="132">
      <c r="A28" s="220" t="inlineStr">
        <is>
          <t>A17</t>
        </is>
      </c>
      <c r="B28" s="220" t="inlineStr">
        <is>
          <t>LCC-2403895</t>
        </is>
      </c>
      <c r="C28" s="237" t="n">
        <v>45594</v>
      </c>
      <c r="D28" s="220" t="n">
        <v>210</v>
      </c>
      <c r="E28" s="220" t="n">
        <v>31.5</v>
      </c>
      <c r="F28" s="220" t="n">
        <v>178.5</v>
      </c>
      <c r="G28" s="220" t="n">
        <v>0</v>
      </c>
      <c r="H28" s="220" t="n">
        <v>0</v>
      </c>
      <c r="I28" s="220" t="n">
        <v>0</v>
      </c>
    </row>
    <row r="29" ht="28" customHeight="1" s="132">
      <c r="A29" s="220" t="inlineStr">
        <is>
          <t>A18</t>
        </is>
      </c>
      <c r="B29" s="220" t="inlineStr">
        <is>
          <t>LCC-2403898</t>
        </is>
      </c>
      <c r="C29" s="237" t="n">
        <v>45596</v>
      </c>
      <c r="D29" s="220" t="n">
        <v>1000</v>
      </c>
      <c r="E29" s="220" t="n">
        <v>150</v>
      </c>
      <c r="F29" s="220" t="n">
        <v>850</v>
      </c>
      <c r="G29" s="220" t="n">
        <v>0</v>
      </c>
      <c r="H29" s="220" t="n">
        <v>0</v>
      </c>
      <c r="I29" s="220" t="n">
        <v>0</v>
      </c>
    </row>
    <row r="30" ht="28" customHeight="1" s="132">
      <c r="A30" s="220" t="inlineStr">
        <is>
          <t>A19</t>
        </is>
      </c>
      <c r="B30" s="220" t="inlineStr">
        <is>
          <t>LCC-2403899</t>
        </is>
      </c>
      <c r="C30" s="237" t="n">
        <v>45596</v>
      </c>
      <c r="D30" s="220" t="n">
        <v>6485</v>
      </c>
      <c r="E30" s="220" t="n">
        <v>972.75</v>
      </c>
      <c r="F30" s="220" t="n">
        <v>5512.25</v>
      </c>
      <c r="G30" s="220" t="n">
        <v>0</v>
      </c>
      <c r="H30" s="220" t="n">
        <v>0</v>
      </c>
      <c r="I30" s="220" t="n">
        <v>0</v>
      </c>
    </row>
    <row r="31" ht="28" customHeight="1" s="132">
      <c r="A31" s="220" t="inlineStr">
        <is>
          <t>A20</t>
        </is>
      </c>
      <c r="B31" s="220" t="inlineStr">
        <is>
          <t>LCC-2403897</t>
        </is>
      </c>
      <c r="C31" s="237" t="n">
        <v>45596</v>
      </c>
      <c r="D31" s="220" t="n">
        <v>14254.89</v>
      </c>
      <c r="E31" s="220" t="n">
        <v>2138.23</v>
      </c>
      <c r="F31" s="220" t="n">
        <v>12116.66</v>
      </c>
      <c r="G31" s="220" t="n">
        <v>0</v>
      </c>
      <c r="H31" s="220" t="n">
        <v>0</v>
      </c>
      <c r="I31" s="220" t="n">
        <v>0</v>
      </c>
    </row>
    <row r="32" ht="28" customHeight="1" s="132">
      <c r="A32" s="220" t="inlineStr">
        <is>
          <t>A21</t>
        </is>
      </c>
      <c r="B32" s="220" t="inlineStr">
        <is>
          <t>LCC-2403901</t>
        </is>
      </c>
      <c r="C32" s="237" t="n">
        <v>45597</v>
      </c>
      <c r="D32" s="220" t="n">
        <v>1235</v>
      </c>
      <c r="E32" s="220" t="n">
        <v>185.25</v>
      </c>
      <c r="F32" s="220" t="n">
        <v>1049.75</v>
      </c>
      <c r="G32" s="220" t="n">
        <v>0</v>
      </c>
      <c r="H32" s="220" t="n">
        <v>0</v>
      </c>
      <c r="I32" s="220" t="n">
        <v>0</v>
      </c>
    </row>
    <row r="33" ht="28" customHeight="1" s="132">
      <c r="A33" s="220" t="inlineStr">
        <is>
          <t>A22</t>
        </is>
      </c>
      <c r="B33" s="220" t="inlineStr">
        <is>
          <t>LCC-2403903</t>
        </is>
      </c>
      <c r="C33" s="237" t="n">
        <v>45600</v>
      </c>
      <c r="D33" s="220" t="n">
        <v>210</v>
      </c>
      <c r="E33" s="220" t="n">
        <v>31.5</v>
      </c>
      <c r="F33" s="220" t="n">
        <v>178.5</v>
      </c>
      <c r="G33" s="220" t="n">
        <v>0</v>
      </c>
      <c r="H33" s="220" t="n">
        <v>0</v>
      </c>
      <c r="I33" s="220" t="n">
        <v>0</v>
      </c>
    </row>
    <row r="34" ht="28" customHeight="1" s="132">
      <c r="A34" s="220" t="inlineStr">
        <is>
          <t>A23</t>
        </is>
      </c>
      <c r="B34" s="220" t="inlineStr">
        <is>
          <t>LCC-2403902</t>
        </is>
      </c>
      <c r="C34" s="237" t="n">
        <v>45600</v>
      </c>
      <c r="D34" s="220" t="n">
        <v>210</v>
      </c>
      <c r="E34" s="220" t="n">
        <v>31.5</v>
      </c>
      <c r="F34" s="220" t="n">
        <v>178.5</v>
      </c>
      <c r="G34" s="220" t="n">
        <v>0</v>
      </c>
      <c r="H34" s="220" t="n">
        <v>0</v>
      </c>
      <c r="I34" s="220" t="n">
        <v>0</v>
      </c>
    </row>
    <row r="35" ht="28" customHeight="1" s="132">
      <c r="A35" s="220" t="inlineStr">
        <is>
          <t>A24</t>
        </is>
      </c>
      <c r="B35" s="220" t="inlineStr">
        <is>
          <t>LCC-2403906</t>
        </is>
      </c>
      <c r="C35" s="237" t="n">
        <v>45602</v>
      </c>
      <c r="D35" s="220" t="n">
        <v>210</v>
      </c>
      <c r="E35" s="220" t="n">
        <v>31.5</v>
      </c>
      <c r="F35" s="220" t="n">
        <v>178.5</v>
      </c>
      <c r="G35" s="220" t="n">
        <v>0</v>
      </c>
      <c r="H35" s="220" t="n">
        <v>0</v>
      </c>
      <c r="I35" s="220" t="n">
        <v>0</v>
      </c>
    </row>
    <row r="36" ht="28" customHeight="1" s="132">
      <c r="A36" s="220" t="inlineStr">
        <is>
          <t>A25</t>
        </is>
      </c>
      <c r="B36" s="220" t="inlineStr">
        <is>
          <t>LCC-2403908</t>
        </is>
      </c>
      <c r="C36" s="237" t="n">
        <v>45602</v>
      </c>
      <c r="D36" s="220" t="n">
        <v>210</v>
      </c>
      <c r="E36" s="220" t="n">
        <v>31.5</v>
      </c>
      <c r="F36" s="220" t="n">
        <v>178.5</v>
      </c>
      <c r="G36" s="220" t="n">
        <v>0</v>
      </c>
      <c r="H36" s="220" t="n">
        <v>0</v>
      </c>
      <c r="I36" s="220" t="n">
        <v>0</v>
      </c>
    </row>
    <row r="37" ht="28" customHeight="1" s="132">
      <c r="A37" s="220" t="inlineStr">
        <is>
          <t>A26</t>
        </is>
      </c>
      <c r="B37" s="220" t="inlineStr">
        <is>
          <t>LCC-2403907</t>
        </is>
      </c>
      <c r="C37" s="237" t="n">
        <v>45602</v>
      </c>
      <c r="D37" s="220" t="n">
        <v>210</v>
      </c>
      <c r="E37" s="220" t="n">
        <v>31.5</v>
      </c>
      <c r="F37" s="220" t="n">
        <v>178.5</v>
      </c>
      <c r="G37" s="220" t="n">
        <v>0</v>
      </c>
      <c r="H37" s="220" t="n">
        <v>0</v>
      </c>
      <c r="I37" s="220" t="n">
        <v>0</v>
      </c>
    </row>
    <row r="38" ht="28" customHeight="1" s="132">
      <c r="A38" s="220" t="inlineStr">
        <is>
          <t>A27</t>
        </is>
      </c>
      <c r="B38" s="220" t="inlineStr">
        <is>
          <t>LCC-2403909</t>
        </is>
      </c>
      <c r="C38" s="237" t="n">
        <v>45603</v>
      </c>
      <c r="D38" s="220" t="n">
        <v>19560.2</v>
      </c>
      <c r="E38" s="220" t="n">
        <v>2934.03</v>
      </c>
      <c r="F38" s="220" t="n">
        <v>16626.17</v>
      </c>
      <c r="G38" s="220" t="n">
        <v>0</v>
      </c>
      <c r="H38" s="220" t="n">
        <v>0</v>
      </c>
      <c r="I38" s="220" t="n">
        <v>0</v>
      </c>
    </row>
    <row r="39" ht="28" customHeight="1" s="132">
      <c r="A39" s="220" t="inlineStr">
        <is>
          <t>A28</t>
        </is>
      </c>
      <c r="B39" s="220" t="inlineStr">
        <is>
          <t>LCC-2403910</t>
        </is>
      </c>
      <c r="C39" s="237" t="n">
        <v>45603</v>
      </c>
      <c r="D39" s="220" t="n">
        <v>37451</v>
      </c>
      <c r="E39" s="220" t="n">
        <v>5617.65</v>
      </c>
      <c r="F39" s="220" t="n">
        <v>31833.35</v>
      </c>
      <c r="G39" s="220" t="n">
        <v>0</v>
      </c>
      <c r="H39" s="220" t="n">
        <v>0</v>
      </c>
      <c r="I39" s="220" t="n">
        <v>0</v>
      </c>
    </row>
    <row r="40" ht="28" customHeight="1" s="132">
      <c r="A40" s="220" t="inlineStr">
        <is>
          <t>A29</t>
        </is>
      </c>
      <c r="B40" s="220" t="inlineStr">
        <is>
          <t>LCC-2403912</t>
        </is>
      </c>
      <c r="C40" s="237" t="n">
        <v>45612</v>
      </c>
      <c r="D40" s="220" t="n">
        <v>210</v>
      </c>
      <c r="E40" s="220" t="n">
        <v>31.5</v>
      </c>
      <c r="F40" s="220" t="n">
        <v>178.5</v>
      </c>
      <c r="G40" s="220" t="n">
        <v>0</v>
      </c>
      <c r="H40" s="220" t="n">
        <v>0</v>
      </c>
      <c r="I40" s="220" t="n">
        <v>0</v>
      </c>
    </row>
    <row r="41" ht="28" customHeight="1" s="132">
      <c r="A41" s="220" t="inlineStr">
        <is>
          <t>A30</t>
        </is>
      </c>
      <c r="B41" s="220" t="inlineStr">
        <is>
          <t>LCP-2403913</t>
        </is>
      </c>
      <c r="C41" s="237" t="n">
        <v>45614</v>
      </c>
      <c r="D41" s="220" t="n">
        <v>400</v>
      </c>
      <c r="E41" s="220" t="n">
        <v>60</v>
      </c>
      <c r="F41" s="220" t="n">
        <v>340</v>
      </c>
      <c r="G41" s="220" t="n">
        <v>0</v>
      </c>
      <c r="H41" s="220" t="n">
        <v>0</v>
      </c>
      <c r="I41" s="220" t="n">
        <v>0</v>
      </c>
    </row>
    <row r="42" ht="28" customHeight="1" s="132">
      <c r="A42" s="220" t="inlineStr">
        <is>
          <t>A31</t>
        </is>
      </c>
      <c r="B42" s="220" t="inlineStr">
        <is>
          <t>LCC-2403918</t>
        </is>
      </c>
      <c r="C42" s="237" t="n">
        <v>45615</v>
      </c>
      <c r="D42" s="220" t="n">
        <v>210</v>
      </c>
      <c r="E42" s="220" t="n">
        <v>31.5</v>
      </c>
      <c r="F42" s="220" t="n">
        <v>178.5</v>
      </c>
      <c r="G42" s="220" t="n">
        <v>0</v>
      </c>
      <c r="H42" s="220" t="n">
        <v>0</v>
      </c>
      <c r="I42" s="220" t="n">
        <v>0</v>
      </c>
    </row>
    <row r="43" ht="28" customHeight="1" s="132">
      <c r="A43" s="220" t="inlineStr">
        <is>
          <t>A32</t>
        </is>
      </c>
      <c r="B43" s="220" t="inlineStr">
        <is>
          <t>LCC-2403917</t>
        </is>
      </c>
      <c r="C43" s="237" t="n">
        <v>45615</v>
      </c>
      <c r="D43" s="220" t="n">
        <v>2480</v>
      </c>
      <c r="E43" s="220" t="n">
        <v>372</v>
      </c>
      <c r="F43" s="220" t="n">
        <v>2108</v>
      </c>
      <c r="G43" s="220" t="n">
        <v>0</v>
      </c>
      <c r="H43" s="220" t="n">
        <v>0</v>
      </c>
      <c r="I43" s="220" t="n">
        <v>0</v>
      </c>
    </row>
    <row r="44" ht="28" customHeight="1" s="132">
      <c r="A44" s="220" t="inlineStr">
        <is>
          <t>A33</t>
        </is>
      </c>
      <c r="B44" s="220" t="inlineStr">
        <is>
          <t>LCC-2403916</t>
        </is>
      </c>
      <c r="C44" s="237" t="n">
        <v>45615</v>
      </c>
      <c r="D44" s="220" t="n">
        <v>16209.5</v>
      </c>
      <c r="E44" s="220" t="n">
        <v>2431.42</v>
      </c>
      <c r="F44" s="220" t="n">
        <v>13778.08</v>
      </c>
      <c r="G44" s="220" t="n">
        <v>0</v>
      </c>
      <c r="H44" s="220" t="n">
        <v>0</v>
      </c>
      <c r="I44" s="220" t="n">
        <v>0</v>
      </c>
    </row>
    <row r="45" ht="28" customHeight="1" s="132">
      <c r="A45" s="220" t="inlineStr">
        <is>
          <t>A34</t>
        </is>
      </c>
      <c r="B45" s="220" t="inlineStr">
        <is>
          <t>LCC-2403924</t>
        </is>
      </c>
      <c r="C45" s="237" t="n">
        <v>45618</v>
      </c>
      <c r="D45" s="220" t="n">
        <v>900</v>
      </c>
      <c r="E45" s="220" t="n">
        <v>135</v>
      </c>
      <c r="F45" s="220" t="n">
        <v>765</v>
      </c>
      <c r="G45" s="220" t="n">
        <v>0</v>
      </c>
      <c r="H45" s="220" t="n">
        <v>0</v>
      </c>
      <c r="I45" s="220" t="n">
        <v>0</v>
      </c>
    </row>
    <row r="46" ht="28" customHeight="1" s="132">
      <c r="A46" s="220" t="inlineStr">
        <is>
          <t>A35</t>
        </is>
      </c>
      <c r="B46" s="220" t="inlineStr">
        <is>
          <t>LCC-2403926</t>
        </is>
      </c>
      <c r="C46" s="237" t="n">
        <v>45619</v>
      </c>
      <c r="D46" s="220" t="n">
        <v>10650</v>
      </c>
      <c r="E46" s="220" t="n">
        <v>1597.5</v>
      </c>
      <c r="F46" s="220" t="n">
        <v>9052.5</v>
      </c>
      <c r="G46" s="220" t="n">
        <v>0</v>
      </c>
      <c r="H46" s="220" t="n">
        <v>0</v>
      </c>
      <c r="I46" s="220" t="n">
        <v>0</v>
      </c>
    </row>
    <row r="47" ht="28" customHeight="1" s="132">
      <c r="A47" s="220" t="inlineStr">
        <is>
          <t>A36</t>
        </is>
      </c>
      <c r="B47" s="220" t="inlineStr">
        <is>
          <t>LCC-2403928</t>
        </is>
      </c>
      <c r="C47" s="237" t="n">
        <v>45619</v>
      </c>
      <c r="D47" s="220" t="n">
        <v>20145</v>
      </c>
      <c r="E47" s="220" t="n">
        <v>3021.75</v>
      </c>
      <c r="F47" s="220" t="n">
        <v>17123.25</v>
      </c>
      <c r="G47" s="220" t="n">
        <v>0</v>
      </c>
      <c r="H47" s="220" t="n">
        <v>0</v>
      </c>
      <c r="I47" s="220" t="n">
        <v>0</v>
      </c>
    </row>
    <row r="48" ht="28" customHeight="1" s="132">
      <c r="A48" s="220" t="inlineStr">
        <is>
          <t>A37</t>
        </is>
      </c>
      <c r="B48" s="220" t="inlineStr">
        <is>
          <t>LCC-2403927</t>
        </is>
      </c>
      <c r="C48" s="237" t="n">
        <v>45619</v>
      </c>
      <c r="D48" s="220" t="n">
        <v>29138</v>
      </c>
      <c r="E48" s="220" t="n">
        <v>4370.7</v>
      </c>
      <c r="F48" s="220" t="n">
        <v>24767.3</v>
      </c>
      <c r="G48" s="220" t="n">
        <v>0</v>
      </c>
      <c r="H48" s="220" t="n">
        <v>0</v>
      </c>
      <c r="I48" s="220" t="n">
        <v>0</v>
      </c>
    </row>
    <row r="49" ht="28" customHeight="1" s="132">
      <c r="A49" s="220" t="inlineStr">
        <is>
          <t>A38</t>
        </is>
      </c>
      <c r="B49" s="220" t="inlineStr">
        <is>
          <t>LCC-2403931</t>
        </is>
      </c>
      <c r="C49" s="237" t="n">
        <v>45621</v>
      </c>
      <c r="D49" s="220" t="n">
        <v>210</v>
      </c>
      <c r="E49" s="220" t="n">
        <v>31.5</v>
      </c>
      <c r="F49" s="220" t="n">
        <v>178.5</v>
      </c>
      <c r="G49" s="220" t="n">
        <v>0</v>
      </c>
      <c r="H49" s="220" t="n">
        <v>0</v>
      </c>
      <c r="I49" s="220" t="n">
        <v>0</v>
      </c>
    </row>
    <row r="50" ht="28" customHeight="1" s="132">
      <c r="A50" s="220" t="inlineStr">
        <is>
          <t>A39</t>
        </is>
      </c>
      <c r="B50" s="220" t="inlineStr">
        <is>
          <t>LCC-2403930</t>
        </is>
      </c>
      <c r="C50" s="237" t="n">
        <v>45621</v>
      </c>
      <c r="D50" s="220" t="n">
        <v>210</v>
      </c>
      <c r="E50" s="220" t="n">
        <v>31.5</v>
      </c>
      <c r="F50" s="220" t="n">
        <v>178.5</v>
      </c>
      <c r="G50" s="220" t="n">
        <v>0</v>
      </c>
      <c r="H50" s="220" t="n">
        <v>0</v>
      </c>
      <c r="I50" s="220" t="n">
        <v>0</v>
      </c>
    </row>
    <row r="51" ht="28" customHeight="1" s="132">
      <c r="A51" s="220" t="inlineStr">
        <is>
          <t>A40</t>
        </is>
      </c>
      <c r="B51" s="220" t="inlineStr">
        <is>
          <t>LCC-2403933</t>
        </is>
      </c>
      <c r="C51" s="237" t="n">
        <v>45622</v>
      </c>
      <c r="D51" s="220" t="n">
        <v>5100</v>
      </c>
      <c r="E51" s="220" t="n">
        <v>0</v>
      </c>
      <c r="F51" s="220" t="n">
        <v>5100</v>
      </c>
      <c r="G51" s="220" t="n">
        <v>0</v>
      </c>
      <c r="H51" s="220" t="n">
        <v>0</v>
      </c>
      <c r="I51" s="220" t="n">
        <v>0</v>
      </c>
    </row>
    <row r="52" ht="28" customHeight="1" s="132">
      <c r="A52" s="220" t="inlineStr">
        <is>
          <t>A41</t>
        </is>
      </c>
      <c r="B52" s="220" t="inlineStr">
        <is>
          <t>LCC-2403934</t>
        </is>
      </c>
      <c r="C52" s="237" t="n">
        <v>45623</v>
      </c>
      <c r="D52" s="220" t="n">
        <v>210</v>
      </c>
      <c r="E52" s="220" t="n">
        <v>31.5</v>
      </c>
      <c r="F52" s="220" t="n">
        <v>178.5</v>
      </c>
      <c r="G52" s="220" t="n">
        <v>0</v>
      </c>
      <c r="H52" s="220" t="n">
        <v>0</v>
      </c>
      <c r="I52" s="220" t="n">
        <v>0</v>
      </c>
    </row>
    <row r="53" ht="28" customHeight="1" s="132">
      <c r="A53" s="220" t="inlineStr">
        <is>
          <t>A42</t>
        </is>
      </c>
      <c r="B53" s="220" t="inlineStr">
        <is>
          <t>LCC-2403935</t>
        </is>
      </c>
      <c r="C53" s="237" t="n">
        <v>45624</v>
      </c>
      <c r="D53" s="220" t="n">
        <v>125</v>
      </c>
      <c r="E53" s="220" t="n">
        <v>0</v>
      </c>
      <c r="F53" s="220" t="n">
        <v>125</v>
      </c>
      <c r="G53" s="220" t="n">
        <v>0</v>
      </c>
      <c r="H53" s="220" t="n">
        <v>0</v>
      </c>
      <c r="I53" s="220" t="n">
        <v>0</v>
      </c>
    </row>
    <row r="54" ht="28" customHeight="1" s="132">
      <c r="A54" s="220" t="inlineStr">
        <is>
          <t>A43</t>
        </is>
      </c>
      <c r="B54" s="220" t="inlineStr">
        <is>
          <t>LCC-2403937</t>
        </is>
      </c>
      <c r="C54" s="237" t="n">
        <v>45624</v>
      </c>
      <c r="D54" s="220" t="n">
        <v>2934.2</v>
      </c>
      <c r="E54" s="220" t="n">
        <v>0</v>
      </c>
      <c r="F54" s="220" t="n">
        <v>2934.2</v>
      </c>
      <c r="G54" s="220" t="n">
        <v>0</v>
      </c>
      <c r="H54" s="220" t="n">
        <v>0</v>
      </c>
      <c r="I54" s="220" t="n">
        <v>0</v>
      </c>
    </row>
    <row r="55" ht="28" customHeight="1" s="132">
      <c r="A55" s="220" t="inlineStr">
        <is>
          <t>A44</t>
        </is>
      </c>
      <c r="B55" s="220" t="inlineStr">
        <is>
          <t>LCC-2403939</t>
        </is>
      </c>
      <c r="C55" s="237" t="n">
        <v>45631</v>
      </c>
      <c r="D55" s="220" t="n">
        <v>210</v>
      </c>
      <c r="E55" s="220" t="n">
        <v>31.5</v>
      </c>
      <c r="F55" s="220" t="n">
        <v>178.5</v>
      </c>
      <c r="G55" s="220" t="n">
        <v>0</v>
      </c>
      <c r="H55" s="220" t="n">
        <v>0</v>
      </c>
      <c r="I55" s="220" t="n">
        <v>0</v>
      </c>
    </row>
    <row r="56" ht="28" customHeight="1" s="132">
      <c r="A56" s="220" t="inlineStr">
        <is>
          <t>A45</t>
        </is>
      </c>
      <c r="B56" s="220" t="inlineStr">
        <is>
          <t>LCC-2403940</t>
        </is>
      </c>
      <c r="C56" s="237" t="n">
        <v>45631</v>
      </c>
      <c r="D56" s="220" t="n">
        <v>210</v>
      </c>
      <c r="E56" s="220" t="n">
        <v>31.5</v>
      </c>
      <c r="F56" s="220" t="n">
        <v>178.5</v>
      </c>
      <c r="G56" s="220" t="n">
        <v>0</v>
      </c>
      <c r="H56" s="220" t="n">
        <v>0</v>
      </c>
      <c r="I56" s="220" t="n">
        <v>0</v>
      </c>
    </row>
    <row r="57" ht="28" customHeight="1" s="132">
      <c r="A57" s="220" t="inlineStr">
        <is>
          <t>A46</t>
        </is>
      </c>
      <c r="B57" s="220" t="inlineStr">
        <is>
          <t>LCC-2403938</t>
        </is>
      </c>
      <c r="C57" s="237" t="n">
        <v>45631</v>
      </c>
      <c r="D57" s="220" t="n">
        <v>616</v>
      </c>
      <c r="E57" s="220" t="n">
        <v>92.40000000000001</v>
      </c>
      <c r="F57" s="220" t="n">
        <v>523.6</v>
      </c>
      <c r="G57" s="220" t="n">
        <v>0</v>
      </c>
      <c r="H57" s="220" t="n">
        <v>0</v>
      </c>
      <c r="I57" s="220" t="n">
        <v>0</v>
      </c>
    </row>
    <row r="58" ht="28" customHeight="1" s="132">
      <c r="A58" s="220" t="inlineStr">
        <is>
          <t>A47</t>
        </is>
      </c>
      <c r="B58" s="220" t="inlineStr">
        <is>
          <t>LCC-2403942</t>
        </is>
      </c>
      <c r="C58" s="237" t="n">
        <v>45635</v>
      </c>
      <c r="D58" s="220" t="n">
        <v>210</v>
      </c>
      <c r="E58" s="220" t="n">
        <v>31.5</v>
      </c>
      <c r="F58" s="220" t="n">
        <v>178.5</v>
      </c>
      <c r="G58" s="220" t="n">
        <v>0</v>
      </c>
      <c r="H58" s="220" t="n">
        <v>0</v>
      </c>
      <c r="I58" s="220" t="n">
        <v>0</v>
      </c>
    </row>
    <row r="59" ht="28" customHeight="1" s="132">
      <c r="A59" s="220" t="inlineStr">
        <is>
          <t>A48</t>
        </is>
      </c>
      <c r="B59" s="220" t="inlineStr">
        <is>
          <t>LCC-2403941</t>
        </is>
      </c>
      <c r="C59" s="237" t="n">
        <v>45635</v>
      </c>
      <c r="D59" s="220" t="n">
        <v>2550</v>
      </c>
      <c r="E59" s="220" t="n">
        <v>382.5</v>
      </c>
      <c r="F59" s="220" t="n">
        <v>2167.5</v>
      </c>
      <c r="G59" s="220" t="n">
        <v>0</v>
      </c>
      <c r="H59" s="220" t="n">
        <v>0</v>
      </c>
      <c r="I59" s="220" t="n">
        <v>0</v>
      </c>
    </row>
    <row r="60" ht="28" customHeight="1" s="132">
      <c r="A60" s="220" t="inlineStr">
        <is>
          <t>A49</t>
        </is>
      </c>
      <c r="B60" s="220" t="inlineStr">
        <is>
          <t>LCC-2403943</t>
        </is>
      </c>
      <c r="C60" s="237" t="n">
        <v>45636</v>
      </c>
      <c r="D60" s="220" t="n">
        <v>210</v>
      </c>
      <c r="E60" s="220" t="n">
        <v>31.5</v>
      </c>
      <c r="F60" s="220" t="n">
        <v>178.5</v>
      </c>
      <c r="G60" s="220" t="n">
        <v>0</v>
      </c>
      <c r="H60" s="220" t="n">
        <v>0</v>
      </c>
      <c r="I60" s="220" t="n">
        <v>0</v>
      </c>
    </row>
    <row r="61" ht="28" customHeight="1" s="132">
      <c r="A61" s="220" t="inlineStr">
        <is>
          <t>A50</t>
        </is>
      </c>
      <c r="B61" s="220" t="inlineStr">
        <is>
          <t>LCC-2403945</t>
        </is>
      </c>
      <c r="C61" s="237" t="n">
        <v>45637</v>
      </c>
      <c r="D61" s="220" t="n">
        <v>1215</v>
      </c>
      <c r="E61" s="220" t="n">
        <v>182.25</v>
      </c>
      <c r="F61" s="220" t="n">
        <v>1032.75</v>
      </c>
      <c r="G61" s="220" t="n">
        <v>0</v>
      </c>
      <c r="H61" s="220" t="n">
        <v>0</v>
      </c>
      <c r="I61" s="220" t="n">
        <v>0</v>
      </c>
    </row>
    <row r="62" ht="28" customHeight="1" s="132">
      <c r="A62" s="220" t="inlineStr">
        <is>
          <t>A51</t>
        </is>
      </c>
      <c r="B62" s="220" t="inlineStr">
        <is>
          <t>LCC-2403944</t>
        </is>
      </c>
      <c r="C62" s="237" t="n">
        <v>45637</v>
      </c>
      <c r="D62" s="220" t="n">
        <v>210</v>
      </c>
      <c r="E62" s="220" t="n">
        <v>31.5</v>
      </c>
      <c r="F62" s="220" t="n">
        <v>178.5</v>
      </c>
      <c r="G62" s="220" t="n">
        <v>0</v>
      </c>
      <c r="H62" s="220" t="n">
        <v>0</v>
      </c>
      <c r="I62" s="220" t="n">
        <v>0</v>
      </c>
    </row>
    <row r="63" ht="28" customHeight="1" s="132">
      <c r="A63" s="220" t="inlineStr">
        <is>
          <t>A52</t>
        </is>
      </c>
      <c r="B63" s="220" t="inlineStr">
        <is>
          <t>LCC-2403946</t>
        </is>
      </c>
      <c r="C63" s="237" t="n">
        <v>45639</v>
      </c>
      <c r="D63" s="220" t="n">
        <v>210</v>
      </c>
      <c r="E63" s="220" t="n">
        <v>31.5</v>
      </c>
      <c r="F63" s="220" t="n">
        <v>178.5</v>
      </c>
      <c r="G63" s="220" t="n">
        <v>0</v>
      </c>
      <c r="H63" s="220" t="n">
        <v>0</v>
      </c>
      <c r="I63" s="220" t="n">
        <v>0</v>
      </c>
    </row>
    <row r="64" ht="28" customHeight="1" s="132">
      <c r="A64" s="220" t="inlineStr">
        <is>
          <t>A53</t>
        </is>
      </c>
      <c r="B64" s="220" t="inlineStr">
        <is>
          <t>LCC-2403947</t>
        </is>
      </c>
      <c r="C64" s="237" t="n">
        <v>45642</v>
      </c>
      <c r="D64" s="220" t="n">
        <v>755.6</v>
      </c>
      <c r="E64" s="220" t="n">
        <v>113.34</v>
      </c>
      <c r="F64" s="220" t="n">
        <v>642.26</v>
      </c>
      <c r="G64" s="220" t="n">
        <v>0</v>
      </c>
      <c r="H64" s="220" t="n">
        <v>0</v>
      </c>
      <c r="I64" s="220" t="n">
        <v>0</v>
      </c>
    </row>
    <row r="65" ht="28" customHeight="1" s="132">
      <c r="A65" s="220" t="inlineStr">
        <is>
          <t>A54</t>
        </is>
      </c>
      <c r="B65" s="220" t="inlineStr">
        <is>
          <t>LCC-2403948</t>
        </is>
      </c>
      <c r="C65" s="237" t="n">
        <v>45642</v>
      </c>
      <c r="D65" s="220" t="n">
        <v>1202</v>
      </c>
      <c r="E65" s="220" t="n">
        <v>180.3</v>
      </c>
      <c r="F65" s="220" t="n">
        <v>1021.7</v>
      </c>
      <c r="G65" s="220" t="n">
        <v>0</v>
      </c>
      <c r="H65" s="220" t="n">
        <v>0</v>
      </c>
      <c r="I65" s="220" t="n">
        <v>0</v>
      </c>
    </row>
    <row r="66" ht="28" customHeight="1" s="132">
      <c r="A66" s="220" t="inlineStr">
        <is>
          <t>A55</t>
        </is>
      </c>
      <c r="B66" s="220" t="inlineStr">
        <is>
          <t>LCC-2403949</t>
        </is>
      </c>
      <c r="C66" s="237" t="n">
        <v>45643</v>
      </c>
      <c r="D66" s="220" t="n">
        <v>210</v>
      </c>
      <c r="E66" s="220" t="n">
        <v>31.5</v>
      </c>
      <c r="F66" s="220" t="n">
        <v>178.5</v>
      </c>
      <c r="G66" s="220" t="n">
        <v>0</v>
      </c>
      <c r="H66" s="220" t="n">
        <v>0</v>
      </c>
      <c r="I66" s="220" t="n">
        <v>0</v>
      </c>
    </row>
    <row r="67" ht="28" customHeight="1" s="132">
      <c r="A67" s="220" t="inlineStr">
        <is>
          <t>A56</t>
        </is>
      </c>
      <c r="B67" s="220" t="inlineStr">
        <is>
          <t>LCC-2403951</t>
        </is>
      </c>
      <c r="C67" s="237" t="n">
        <v>45646</v>
      </c>
      <c r="D67" s="220" t="n">
        <v>210</v>
      </c>
      <c r="E67" s="220" t="n">
        <v>31.5</v>
      </c>
      <c r="F67" s="220" t="n">
        <v>178.5</v>
      </c>
      <c r="G67" s="220" t="n">
        <v>0</v>
      </c>
      <c r="H67" s="220" t="n">
        <v>0</v>
      </c>
      <c r="I67" s="220" t="n">
        <v>0</v>
      </c>
    </row>
    <row r="68" ht="28" customHeight="1" s="132">
      <c r="A68" s="220" t="inlineStr">
        <is>
          <t>A57</t>
        </is>
      </c>
      <c r="B68" s="220" t="inlineStr">
        <is>
          <t>LCC-2403953</t>
        </is>
      </c>
      <c r="C68" s="237" t="n">
        <v>45646</v>
      </c>
      <c r="D68" s="220" t="n">
        <v>500</v>
      </c>
      <c r="E68" s="220" t="n">
        <v>75</v>
      </c>
      <c r="F68" s="220" t="n">
        <v>425</v>
      </c>
      <c r="G68" s="220" t="n">
        <v>0</v>
      </c>
      <c r="H68" s="220" t="n">
        <v>0</v>
      </c>
      <c r="I68" s="220" t="n">
        <v>0</v>
      </c>
    </row>
    <row r="69" ht="28" customHeight="1" s="132">
      <c r="A69" s="220" t="inlineStr">
        <is>
          <t>A58</t>
        </is>
      </c>
      <c r="B69" s="220" t="inlineStr">
        <is>
          <t>LCC-2403954</t>
        </is>
      </c>
      <c r="C69" s="237" t="n">
        <v>45649</v>
      </c>
      <c r="D69" s="220" t="n">
        <v>116926</v>
      </c>
      <c r="E69" s="220" t="n">
        <v>17538.9</v>
      </c>
      <c r="F69" s="220" t="n">
        <v>99387.10000000001</v>
      </c>
      <c r="G69" s="220" t="n">
        <v>0</v>
      </c>
      <c r="H69" s="220" t="n">
        <v>0</v>
      </c>
      <c r="I69" s="220" t="n">
        <v>0</v>
      </c>
    </row>
    <row r="70" ht="28" customHeight="1" s="132">
      <c r="A70" s="220" t="inlineStr">
        <is>
          <t>A59</t>
        </is>
      </c>
      <c r="B70" s="220" t="inlineStr">
        <is>
          <t>LCC-2403955</t>
        </is>
      </c>
      <c r="C70" s="237" t="n">
        <v>45651</v>
      </c>
      <c r="D70" s="220" t="n">
        <v>210</v>
      </c>
      <c r="E70" s="220" t="n">
        <v>31.5</v>
      </c>
      <c r="F70" s="220" t="n">
        <v>178.5</v>
      </c>
      <c r="G70" s="220" t="n">
        <v>0</v>
      </c>
      <c r="H70" s="220" t="n">
        <v>0</v>
      </c>
      <c r="I70" s="220" t="n">
        <v>0</v>
      </c>
    </row>
    <row r="71" ht="28" customHeight="1" s="132">
      <c r="A71" s="220" t="inlineStr">
        <is>
          <t>A60</t>
        </is>
      </c>
      <c r="B71" s="220" t="inlineStr">
        <is>
          <t>LCC-2403959</t>
        </is>
      </c>
      <c r="C71" s="237" t="n">
        <v>45652</v>
      </c>
      <c r="D71" s="220" t="n">
        <v>210</v>
      </c>
      <c r="E71" s="220" t="n">
        <v>31.5</v>
      </c>
      <c r="F71" s="220" t="n">
        <v>178.5</v>
      </c>
      <c r="G71" s="220" t="n">
        <v>0</v>
      </c>
      <c r="H71" s="220" t="n">
        <v>0</v>
      </c>
      <c r="I71" s="220" t="n">
        <v>0</v>
      </c>
    </row>
    <row r="72" ht="28" customHeight="1" s="132">
      <c r="A72" s="220" t="inlineStr">
        <is>
          <t>A61</t>
        </is>
      </c>
      <c r="B72" s="220" t="inlineStr">
        <is>
          <t>LCC-2403957</t>
        </is>
      </c>
      <c r="C72" s="237" t="n">
        <v>45652</v>
      </c>
      <c r="D72" s="220" t="n">
        <v>350</v>
      </c>
      <c r="E72" s="220" t="n">
        <v>52.5</v>
      </c>
      <c r="F72" s="220" t="n">
        <v>297.5</v>
      </c>
      <c r="G72" s="220" t="n">
        <v>0</v>
      </c>
      <c r="H72" s="220" t="n">
        <v>0</v>
      </c>
      <c r="I72" s="220" t="n">
        <v>0</v>
      </c>
    </row>
    <row r="73" ht="28" customHeight="1" s="132">
      <c r="A73" s="220" t="inlineStr">
        <is>
          <t>A62</t>
        </is>
      </c>
      <c r="B73" s="220" t="inlineStr">
        <is>
          <t>LCC-2403956</t>
        </is>
      </c>
      <c r="C73" s="237" t="n">
        <v>45652</v>
      </c>
      <c r="D73" s="220" t="n">
        <v>210</v>
      </c>
      <c r="E73" s="220" t="n">
        <v>31.5</v>
      </c>
      <c r="F73" s="220" t="n">
        <v>178.5</v>
      </c>
      <c r="G73" s="220" t="n">
        <v>0</v>
      </c>
      <c r="H73" s="220" t="n">
        <v>0</v>
      </c>
      <c r="I73" s="220" t="n">
        <v>0</v>
      </c>
    </row>
    <row r="74" ht="28" customHeight="1" s="132">
      <c r="A74" s="220" t="inlineStr">
        <is>
          <t>A63</t>
        </is>
      </c>
      <c r="B74" s="220" t="inlineStr">
        <is>
          <t>LCC-2403962</t>
        </is>
      </c>
      <c r="C74" s="237" t="n">
        <v>45653</v>
      </c>
      <c r="D74" s="220" t="n">
        <v>4250</v>
      </c>
      <c r="E74" s="220" t="n">
        <v>637.5</v>
      </c>
      <c r="F74" s="220" t="n">
        <v>3612.5</v>
      </c>
      <c r="G74" s="220" t="n">
        <v>0</v>
      </c>
      <c r="H74" s="220" t="n">
        <v>0</v>
      </c>
      <c r="I74" s="220" t="n">
        <v>0</v>
      </c>
    </row>
    <row r="75" ht="28" customHeight="1" s="132">
      <c r="A75" s="220" t="inlineStr">
        <is>
          <t>A64</t>
        </is>
      </c>
      <c r="B75" s="220" t="inlineStr">
        <is>
          <t>LCC-2403961</t>
        </is>
      </c>
      <c r="C75" s="237" t="n">
        <v>45653</v>
      </c>
      <c r="D75" s="220" t="n">
        <v>8500</v>
      </c>
      <c r="E75" s="220" t="n">
        <v>1275</v>
      </c>
      <c r="F75" s="220" t="n">
        <v>7225</v>
      </c>
      <c r="G75" s="220" t="n">
        <v>0</v>
      </c>
      <c r="H75" s="220" t="n">
        <v>0</v>
      </c>
      <c r="I75" s="220" t="n">
        <v>0</v>
      </c>
    </row>
    <row r="76" ht="28" customHeight="1" s="132">
      <c r="A76" s="220" t="inlineStr">
        <is>
          <t>A65</t>
        </is>
      </c>
      <c r="B76" s="220" t="inlineStr">
        <is>
          <t>LCC-2503964</t>
        </is>
      </c>
      <c r="C76" s="237" t="n">
        <v>45663</v>
      </c>
      <c r="D76" s="220" t="n">
        <v>28124.9</v>
      </c>
      <c r="E76" s="220" t="n">
        <v>4218.73</v>
      </c>
      <c r="F76" s="220" t="n">
        <v>23906.17</v>
      </c>
      <c r="G76" s="220" t="n">
        <v>0</v>
      </c>
      <c r="H76" s="220" t="n">
        <v>0</v>
      </c>
      <c r="I76" s="220" t="n">
        <v>0</v>
      </c>
    </row>
    <row r="77" ht="28" customHeight="1" s="132">
      <c r="A77" s="220" t="inlineStr">
        <is>
          <t>A66</t>
        </is>
      </c>
      <c r="B77" s="220" t="inlineStr">
        <is>
          <t>LCC-2503965</t>
        </is>
      </c>
      <c r="C77" s="237" t="n">
        <v>45666</v>
      </c>
      <c r="D77" s="220" t="n">
        <v>350</v>
      </c>
      <c r="E77" s="220" t="n">
        <v>52.5</v>
      </c>
      <c r="F77" s="220" t="n">
        <v>297.5</v>
      </c>
      <c r="G77" s="220" t="n">
        <v>0</v>
      </c>
      <c r="H77" s="220" t="n">
        <v>0</v>
      </c>
      <c r="I77" s="220" t="n">
        <v>0</v>
      </c>
    </row>
    <row r="78" ht="28" customHeight="1" s="132">
      <c r="A78" s="220" t="inlineStr">
        <is>
          <t>A67</t>
        </is>
      </c>
      <c r="B78" s="220" t="inlineStr">
        <is>
          <t>LCC-2503967</t>
        </is>
      </c>
      <c r="C78" s="237" t="n">
        <v>45667</v>
      </c>
      <c r="D78" s="220" t="n">
        <v>2625.3</v>
      </c>
      <c r="E78" s="220" t="n">
        <v>0</v>
      </c>
      <c r="F78" s="220" t="n">
        <v>2625.3</v>
      </c>
      <c r="G78" s="220" t="n">
        <v>0</v>
      </c>
      <c r="H78" s="220" t="n">
        <v>0</v>
      </c>
      <c r="I78" s="220" t="n">
        <v>0</v>
      </c>
    </row>
    <row r="79" ht="28" customHeight="1" s="132">
      <c r="A79" s="220" t="inlineStr">
        <is>
          <t>A68</t>
        </is>
      </c>
      <c r="B79" s="220" t="inlineStr">
        <is>
          <t>LCC-2503968</t>
        </is>
      </c>
      <c r="C79" s="237" t="n">
        <v>45671</v>
      </c>
      <c r="D79" s="220" t="n">
        <v>1000</v>
      </c>
      <c r="E79" s="220" t="n">
        <v>150</v>
      </c>
      <c r="F79" s="220" t="n">
        <v>850</v>
      </c>
      <c r="G79" s="220" t="n">
        <v>0</v>
      </c>
      <c r="H79" s="220" t="n">
        <v>0</v>
      </c>
      <c r="I79" s="220" t="n">
        <v>0</v>
      </c>
    </row>
    <row r="80" ht="28" customHeight="1" s="132">
      <c r="A80" s="220" t="inlineStr">
        <is>
          <t>A69</t>
        </is>
      </c>
      <c r="B80" s="220" t="inlineStr">
        <is>
          <t>LCC-2503970</t>
        </is>
      </c>
      <c r="C80" s="237" t="n">
        <v>45671</v>
      </c>
      <c r="D80" s="220" t="n">
        <v>19243.53</v>
      </c>
      <c r="E80" s="220" t="n">
        <v>2886.53</v>
      </c>
      <c r="F80" s="220" t="n">
        <v>16357</v>
      </c>
      <c r="G80" s="220" t="n">
        <v>0</v>
      </c>
      <c r="H80" s="220" t="n">
        <v>0</v>
      </c>
      <c r="I80" s="220" t="n">
        <v>0</v>
      </c>
    </row>
    <row r="81" ht="28" customHeight="1" s="132">
      <c r="A81" s="220" t="inlineStr">
        <is>
          <t>A70</t>
        </is>
      </c>
      <c r="B81" s="220" t="inlineStr">
        <is>
          <t>LCC-2503971</t>
        </is>
      </c>
      <c r="C81" s="237" t="n">
        <v>45671</v>
      </c>
      <c r="D81" s="220" t="n">
        <v>250</v>
      </c>
      <c r="E81" s="220" t="n">
        <v>37.5</v>
      </c>
      <c r="F81" s="220" t="n">
        <v>212.5</v>
      </c>
      <c r="G81" s="220" t="n">
        <v>0</v>
      </c>
      <c r="H81" s="220" t="n">
        <v>0</v>
      </c>
      <c r="I81" s="220" t="n">
        <v>0</v>
      </c>
    </row>
    <row r="82" ht="28" customHeight="1" s="132">
      <c r="A82" s="220" t="inlineStr">
        <is>
          <t>A71</t>
        </is>
      </c>
      <c r="B82" s="220" t="inlineStr">
        <is>
          <t>LCC-2503972</t>
        </is>
      </c>
      <c r="C82" s="237" t="n">
        <v>45672</v>
      </c>
      <c r="D82" s="220" t="n">
        <v>210</v>
      </c>
      <c r="E82" s="220" t="n">
        <v>31.5</v>
      </c>
      <c r="F82" s="220" t="n">
        <v>178.5</v>
      </c>
      <c r="G82" s="220" t="n">
        <v>0</v>
      </c>
      <c r="H82" s="220" t="n">
        <v>0</v>
      </c>
      <c r="I82" s="220" t="n">
        <v>0</v>
      </c>
    </row>
    <row r="83" ht="28" customHeight="1" s="132">
      <c r="A83" s="220" t="inlineStr">
        <is>
          <t>A72</t>
        </is>
      </c>
      <c r="B83" s="220" t="inlineStr">
        <is>
          <t>LCC-2503980</t>
        </is>
      </c>
      <c r="C83" s="237" t="n">
        <v>45673</v>
      </c>
      <c r="D83" s="220" t="n">
        <v>250</v>
      </c>
      <c r="E83" s="220" t="n">
        <v>37.5</v>
      </c>
      <c r="F83" s="220" t="n">
        <v>212.5</v>
      </c>
      <c r="G83" s="220" t="n">
        <v>0</v>
      </c>
      <c r="H83" s="220" t="n">
        <v>0</v>
      </c>
      <c r="I83" s="220" t="n">
        <v>0</v>
      </c>
    </row>
    <row r="84" ht="28" customHeight="1" s="132">
      <c r="A84" s="220" t="inlineStr">
        <is>
          <t>A73</t>
        </is>
      </c>
      <c r="B84" s="220" t="inlineStr">
        <is>
          <t>LCC-2503977</t>
        </is>
      </c>
      <c r="C84" s="237" t="n">
        <v>45673</v>
      </c>
      <c r="D84" s="220" t="n">
        <v>250</v>
      </c>
      <c r="E84" s="220" t="n">
        <v>37.5</v>
      </c>
      <c r="F84" s="220" t="n">
        <v>212.5</v>
      </c>
      <c r="G84" s="220" t="n">
        <v>0</v>
      </c>
      <c r="H84" s="220" t="n">
        <v>0</v>
      </c>
      <c r="I84" s="220" t="n">
        <v>0</v>
      </c>
    </row>
    <row r="85" ht="28" customHeight="1" s="132">
      <c r="A85" s="220" t="inlineStr">
        <is>
          <t>A74</t>
        </is>
      </c>
      <c r="B85" s="220" t="inlineStr">
        <is>
          <t>LCP-2503978</t>
        </is>
      </c>
      <c r="C85" s="237" t="n">
        <v>45673</v>
      </c>
      <c r="D85" s="220" t="n">
        <v>250</v>
      </c>
      <c r="E85" s="220" t="n">
        <v>37.5</v>
      </c>
      <c r="F85" s="220" t="n">
        <v>212.5</v>
      </c>
      <c r="G85" s="220" t="n">
        <v>0</v>
      </c>
      <c r="H85" s="220" t="n">
        <v>0</v>
      </c>
      <c r="I85" s="220" t="n">
        <v>0</v>
      </c>
    </row>
    <row r="86" ht="28" customHeight="1" s="132">
      <c r="A86" s="220" t="inlineStr">
        <is>
          <t>A75</t>
        </is>
      </c>
      <c r="B86" s="220" t="inlineStr">
        <is>
          <t>LCC-2503979</t>
        </is>
      </c>
      <c r="C86" s="237" t="n">
        <v>45673</v>
      </c>
      <c r="D86" s="220" t="n">
        <v>250</v>
      </c>
      <c r="E86" s="220" t="n">
        <v>37.5</v>
      </c>
      <c r="F86" s="220" t="n">
        <v>212.5</v>
      </c>
      <c r="G86" s="220" t="n">
        <v>0</v>
      </c>
      <c r="H86" s="220" t="n">
        <v>0</v>
      </c>
      <c r="I86" s="220" t="n">
        <v>0</v>
      </c>
    </row>
    <row r="87" ht="28" customHeight="1" s="132">
      <c r="A87" s="220" t="inlineStr">
        <is>
          <t>A76</t>
        </is>
      </c>
      <c r="B87" s="220" t="inlineStr">
        <is>
          <t>LCC-2503981</t>
        </is>
      </c>
      <c r="C87" s="237" t="n">
        <v>45674</v>
      </c>
      <c r="D87" s="220" t="n">
        <v>250</v>
      </c>
      <c r="E87" s="220" t="n">
        <v>37.5</v>
      </c>
      <c r="F87" s="220" t="n">
        <v>212.5</v>
      </c>
      <c r="G87" s="220" t="n">
        <v>0</v>
      </c>
      <c r="H87" s="220" t="n">
        <v>0</v>
      </c>
      <c r="I87" s="220" t="n">
        <v>0</v>
      </c>
    </row>
    <row r="88" ht="28" customHeight="1" s="132">
      <c r="A88" s="220" t="inlineStr">
        <is>
          <t>A77</t>
        </is>
      </c>
      <c r="B88" s="220" t="inlineStr">
        <is>
          <t>LCP-2503986</t>
        </is>
      </c>
      <c r="C88" s="237" t="n">
        <v>45674</v>
      </c>
      <c r="D88" s="220" t="n">
        <v>250</v>
      </c>
      <c r="E88" s="220" t="n">
        <v>37.5</v>
      </c>
      <c r="F88" s="220" t="n">
        <v>212.5</v>
      </c>
      <c r="G88" s="220" t="n">
        <v>0</v>
      </c>
      <c r="H88" s="220" t="n">
        <v>0</v>
      </c>
      <c r="I88" s="220" t="n">
        <v>0</v>
      </c>
    </row>
    <row r="89" ht="28" customHeight="1" s="132">
      <c r="A89" s="220" t="inlineStr">
        <is>
          <t>A78</t>
        </is>
      </c>
      <c r="B89" s="220" t="inlineStr">
        <is>
          <t>LCC-2503992</t>
        </is>
      </c>
      <c r="C89" s="237" t="n">
        <v>45674</v>
      </c>
      <c r="D89" s="220" t="n">
        <v>210</v>
      </c>
      <c r="E89" s="220" t="n">
        <v>31.5</v>
      </c>
      <c r="F89" s="220" t="n">
        <v>178.5</v>
      </c>
      <c r="G89" s="220" t="n">
        <v>0</v>
      </c>
      <c r="H89" s="220" t="n">
        <v>0</v>
      </c>
      <c r="I89" s="220" t="n">
        <v>0</v>
      </c>
    </row>
    <row r="90" ht="28" customHeight="1" s="132">
      <c r="A90" s="220" t="inlineStr">
        <is>
          <t>A79</t>
        </is>
      </c>
      <c r="B90" s="220" t="inlineStr">
        <is>
          <t>LCP-2503988</t>
        </is>
      </c>
      <c r="C90" s="237" t="n">
        <v>45674</v>
      </c>
      <c r="D90" s="220" t="n">
        <v>250</v>
      </c>
      <c r="E90" s="220" t="n">
        <v>37.5</v>
      </c>
      <c r="F90" s="220" t="n">
        <v>212.5</v>
      </c>
      <c r="G90" s="220" t="n">
        <v>0</v>
      </c>
      <c r="H90" s="220" t="n">
        <v>0</v>
      </c>
      <c r="I90" s="220" t="n">
        <v>0</v>
      </c>
    </row>
    <row r="91" ht="28" customHeight="1" s="132">
      <c r="A91" s="220" t="inlineStr">
        <is>
          <t>A80</t>
        </is>
      </c>
      <c r="B91" s="220" t="inlineStr">
        <is>
          <t>LCC-2503984</t>
        </is>
      </c>
      <c r="C91" s="237" t="n">
        <v>45674</v>
      </c>
      <c r="D91" s="220" t="n">
        <v>210</v>
      </c>
      <c r="E91" s="220" t="n">
        <v>31.5</v>
      </c>
      <c r="F91" s="220" t="n">
        <v>178.5</v>
      </c>
      <c r="G91" s="220" t="n">
        <v>0</v>
      </c>
      <c r="H91" s="220" t="n">
        <v>0</v>
      </c>
      <c r="I91" s="220" t="n">
        <v>0</v>
      </c>
    </row>
    <row r="92" ht="28" customHeight="1" s="132">
      <c r="A92" s="220" t="inlineStr">
        <is>
          <t>A81</t>
        </is>
      </c>
      <c r="B92" s="220" t="inlineStr">
        <is>
          <t>LCC-2503983</t>
        </is>
      </c>
      <c r="C92" s="237" t="n">
        <v>45674</v>
      </c>
      <c r="D92" s="220" t="n">
        <v>250</v>
      </c>
      <c r="E92" s="220" t="n">
        <v>37.5</v>
      </c>
      <c r="F92" s="220" t="n">
        <v>212.5</v>
      </c>
      <c r="G92" s="220" t="n">
        <v>0</v>
      </c>
      <c r="H92" s="220" t="n">
        <v>0</v>
      </c>
      <c r="I92" s="220" t="n">
        <v>0</v>
      </c>
    </row>
    <row r="93" ht="28" customHeight="1" s="132">
      <c r="A93" s="220" t="inlineStr">
        <is>
          <t>A82</t>
        </is>
      </c>
      <c r="B93" s="220" t="inlineStr">
        <is>
          <t>LCP-2503982</t>
        </is>
      </c>
      <c r="C93" s="237" t="n">
        <v>45674</v>
      </c>
      <c r="D93" s="220" t="n">
        <v>250</v>
      </c>
      <c r="E93" s="220" t="n">
        <v>37.5</v>
      </c>
      <c r="F93" s="220" t="n">
        <v>212.5</v>
      </c>
      <c r="G93" s="220" t="n">
        <v>0</v>
      </c>
      <c r="H93" s="220" t="n">
        <v>0</v>
      </c>
      <c r="I93" s="220" t="n">
        <v>0</v>
      </c>
    </row>
    <row r="94" ht="28" customHeight="1" s="132">
      <c r="A94" s="220" t="inlineStr">
        <is>
          <t>A83</t>
        </is>
      </c>
      <c r="B94" s="220" t="inlineStr">
        <is>
          <t>LCC-2503985</t>
        </is>
      </c>
      <c r="C94" s="237" t="n">
        <v>45674</v>
      </c>
      <c r="D94" s="220" t="n">
        <v>210</v>
      </c>
      <c r="E94" s="220" t="n">
        <v>31.5</v>
      </c>
      <c r="F94" s="220" t="n">
        <v>178.5</v>
      </c>
      <c r="G94" s="220" t="n">
        <v>0</v>
      </c>
      <c r="H94" s="220" t="n">
        <v>0</v>
      </c>
      <c r="I94" s="220" t="n">
        <v>0</v>
      </c>
    </row>
    <row r="95" ht="28" customHeight="1" s="132">
      <c r="A95" s="220" t="inlineStr">
        <is>
          <t>A84</t>
        </is>
      </c>
      <c r="B95" s="220" t="inlineStr">
        <is>
          <t>LCC-2503997</t>
        </is>
      </c>
      <c r="C95" s="237" t="n">
        <v>45676</v>
      </c>
      <c r="D95" s="220" t="n">
        <v>540</v>
      </c>
      <c r="E95" s="220" t="n">
        <v>81</v>
      </c>
      <c r="F95" s="220" t="n">
        <v>459</v>
      </c>
      <c r="G95" s="220" t="n">
        <v>0</v>
      </c>
      <c r="H95" s="220" t="n">
        <v>0</v>
      </c>
      <c r="I95" s="220" t="n">
        <v>0</v>
      </c>
    </row>
    <row r="96" ht="28" customHeight="1" s="132">
      <c r="A96" s="220" t="inlineStr">
        <is>
          <t>A85</t>
        </is>
      </c>
      <c r="B96" s="220" t="inlineStr">
        <is>
          <t>LCC-2503995</t>
        </is>
      </c>
      <c r="C96" s="237" t="n">
        <v>45676</v>
      </c>
      <c r="D96" s="220" t="n">
        <v>250</v>
      </c>
      <c r="E96" s="220" t="n">
        <v>37.5</v>
      </c>
      <c r="F96" s="220" t="n">
        <v>212.5</v>
      </c>
      <c r="G96" s="220" t="n">
        <v>0</v>
      </c>
      <c r="H96" s="220" t="n">
        <v>0</v>
      </c>
      <c r="I96" s="220" t="n">
        <v>0</v>
      </c>
    </row>
    <row r="97" ht="28" customHeight="1" s="132">
      <c r="A97" s="220" t="inlineStr">
        <is>
          <t>A86</t>
        </is>
      </c>
      <c r="B97" s="220" t="inlineStr">
        <is>
          <t>LCC-2503994</t>
        </is>
      </c>
      <c r="C97" s="237" t="n">
        <v>45676</v>
      </c>
      <c r="D97" s="220" t="n">
        <v>250</v>
      </c>
      <c r="E97" s="220" t="n">
        <v>37.5</v>
      </c>
      <c r="F97" s="220" t="n">
        <v>212.5</v>
      </c>
      <c r="G97" s="220" t="n">
        <v>0</v>
      </c>
      <c r="H97" s="220" t="n">
        <v>0</v>
      </c>
      <c r="I97" s="220" t="n">
        <v>0</v>
      </c>
    </row>
    <row r="98" ht="28" customHeight="1" s="132">
      <c r="A98" s="220" t="inlineStr">
        <is>
          <t>A87</t>
        </is>
      </c>
      <c r="B98" s="220" t="inlineStr">
        <is>
          <t>LCC-2503996</t>
        </is>
      </c>
      <c r="C98" s="237" t="n">
        <v>45676</v>
      </c>
      <c r="D98" s="220" t="n">
        <v>210</v>
      </c>
      <c r="E98" s="220" t="n">
        <v>31.5</v>
      </c>
      <c r="F98" s="220" t="n">
        <v>178.5</v>
      </c>
      <c r="G98" s="220" t="n">
        <v>0</v>
      </c>
      <c r="H98" s="220" t="n">
        <v>0</v>
      </c>
      <c r="I98" s="220" t="n">
        <v>0</v>
      </c>
    </row>
    <row r="99" ht="28" customHeight="1" s="132">
      <c r="A99" s="220" t="inlineStr">
        <is>
          <t>A88</t>
        </is>
      </c>
      <c r="B99" s="220" t="inlineStr">
        <is>
          <t>LCC-2503999</t>
        </is>
      </c>
      <c r="C99" s="237" t="n">
        <v>45678</v>
      </c>
      <c r="D99" s="220" t="n">
        <v>9500</v>
      </c>
      <c r="E99" s="220" t="n">
        <v>1425</v>
      </c>
      <c r="F99" s="220" t="n">
        <v>8075</v>
      </c>
      <c r="G99" s="220" t="n">
        <v>0</v>
      </c>
      <c r="H99" s="220" t="n">
        <v>0</v>
      </c>
      <c r="I99" s="220" t="n">
        <v>0</v>
      </c>
    </row>
    <row r="100" ht="28" customHeight="1" s="132">
      <c r="A100" s="220" t="inlineStr">
        <is>
          <t>A89</t>
        </is>
      </c>
      <c r="B100" s="220" t="inlineStr">
        <is>
          <t>LCC-2504002</t>
        </is>
      </c>
      <c r="C100" s="237" t="n">
        <v>45678</v>
      </c>
      <c r="D100" s="220" t="n">
        <v>250</v>
      </c>
      <c r="E100" s="220" t="n">
        <v>37.5</v>
      </c>
      <c r="F100" s="220" t="n">
        <v>212.5</v>
      </c>
      <c r="G100" s="220" t="n">
        <v>0</v>
      </c>
      <c r="H100" s="220" t="n">
        <v>0</v>
      </c>
      <c r="I100" s="220" t="n">
        <v>0</v>
      </c>
    </row>
    <row r="101" ht="28" customHeight="1" s="132">
      <c r="A101" s="220" t="inlineStr">
        <is>
          <t>A90</t>
        </is>
      </c>
      <c r="B101" s="220" t="inlineStr">
        <is>
          <t>LCC-2504000</t>
        </is>
      </c>
      <c r="C101" s="237" t="n">
        <v>45678</v>
      </c>
      <c r="D101" s="220" t="n">
        <v>13260</v>
      </c>
      <c r="E101" s="220" t="n">
        <v>1989</v>
      </c>
      <c r="F101" s="220" t="n">
        <v>11271</v>
      </c>
      <c r="G101" s="220" t="n">
        <v>0</v>
      </c>
      <c r="H101" s="220" t="n">
        <v>0</v>
      </c>
      <c r="I101" s="220" t="n">
        <v>0</v>
      </c>
    </row>
    <row r="102" ht="28" customHeight="1" s="132">
      <c r="A102" s="220" t="inlineStr">
        <is>
          <t>A91</t>
        </is>
      </c>
      <c r="B102" s="220" t="inlineStr">
        <is>
          <t>LCC-2504004</t>
        </is>
      </c>
      <c r="C102" s="237" t="n">
        <v>45678</v>
      </c>
      <c r="D102" s="220" t="n">
        <v>350</v>
      </c>
      <c r="E102" s="220" t="n">
        <v>52.5</v>
      </c>
      <c r="F102" s="220" t="n">
        <v>297.5</v>
      </c>
      <c r="G102" s="220" t="n">
        <v>0</v>
      </c>
      <c r="H102" s="220" t="n">
        <v>0</v>
      </c>
      <c r="I102" s="220" t="n">
        <v>0</v>
      </c>
    </row>
    <row r="103" ht="28" customHeight="1" s="132">
      <c r="A103" s="220" t="inlineStr">
        <is>
          <t>A92</t>
        </is>
      </c>
      <c r="B103" s="220" t="inlineStr">
        <is>
          <t>LCC-2504008</t>
        </is>
      </c>
      <c r="C103" s="237" t="n">
        <v>45679</v>
      </c>
      <c r="D103" s="220" t="n">
        <v>250</v>
      </c>
      <c r="E103" s="220" t="n">
        <v>37.5</v>
      </c>
      <c r="F103" s="220" t="n">
        <v>212.5</v>
      </c>
      <c r="G103" s="220" t="n">
        <v>0</v>
      </c>
      <c r="H103" s="220" t="n">
        <v>0</v>
      </c>
      <c r="I103" s="220" t="n">
        <v>0</v>
      </c>
    </row>
    <row r="104" ht="28" customHeight="1" s="132">
      <c r="A104" s="220" t="inlineStr">
        <is>
          <t>A93</t>
        </is>
      </c>
      <c r="B104" s="220" t="inlineStr">
        <is>
          <t>LCP-2504007</t>
        </is>
      </c>
      <c r="C104" s="237" t="n">
        <v>45679</v>
      </c>
      <c r="D104" s="220" t="n">
        <v>250</v>
      </c>
      <c r="E104" s="220" t="n">
        <v>37.5</v>
      </c>
      <c r="F104" s="220" t="n">
        <v>212.5</v>
      </c>
      <c r="G104" s="220" t="n">
        <v>0</v>
      </c>
      <c r="H104" s="220" t="n">
        <v>0</v>
      </c>
      <c r="I104" s="220" t="n">
        <v>0</v>
      </c>
    </row>
    <row r="105" ht="28" customHeight="1" s="132">
      <c r="A105" s="220" t="inlineStr">
        <is>
          <t>A94</t>
        </is>
      </c>
      <c r="B105" s="220" t="inlineStr">
        <is>
          <t>LCC-2504006</t>
        </is>
      </c>
      <c r="C105" s="237" t="n">
        <v>45679</v>
      </c>
      <c r="D105" s="220" t="n">
        <v>210</v>
      </c>
      <c r="E105" s="220" t="n">
        <v>31.5</v>
      </c>
      <c r="F105" s="220" t="n">
        <v>178.5</v>
      </c>
      <c r="G105" s="220" t="n">
        <v>0</v>
      </c>
      <c r="H105" s="220" t="n">
        <v>0</v>
      </c>
      <c r="I105" s="220" t="n">
        <v>0</v>
      </c>
    </row>
    <row r="106" ht="28" customHeight="1" s="132">
      <c r="A106" s="220" t="inlineStr">
        <is>
          <t>A95</t>
        </is>
      </c>
      <c r="B106" s="220" t="inlineStr">
        <is>
          <t>LCP-2504009</t>
        </is>
      </c>
      <c r="C106" s="237" t="n">
        <v>45679</v>
      </c>
      <c r="D106" s="220" t="n">
        <v>250</v>
      </c>
      <c r="E106" s="220" t="n">
        <v>37.5</v>
      </c>
      <c r="F106" s="220" t="n">
        <v>212.5</v>
      </c>
      <c r="G106" s="220" t="n">
        <v>0</v>
      </c>
      <c r="H106" s="220" t="n">
        <v>0</v>
      </c>
      <c r="I106" s="220" t="n">
        <v>0</v>
      </c>
    </row>
    <row r="107" ht="28" customHeight="1" s="132">
      <c r="A107" s="220" t="inlineStr">
        <is>
          <t>A96</t>
        </is>
      </c>
      <c r="B107" s="220" t="inlineStr">
        <is>
          <t>LCP-2504005</t>
        </is>
      </c>
      <c r="C107" s="237" t="n">
        <v>45679</v>
      </c>
      <c r="D107" s="220" t="n">
        <v>250</v>
      </c>
      <c r="E107" s="220" t="n">
        <v>37.5</v>
      </c>
      <c r="F107" s="220" t="n">
        <v>212.5</v>
      </c>
      <c r="G107" s="220" t="n">
        <v>0</v>
      </c>
      <c r="H107" s="220" t="n">
        <v>0</v>
      </c>
      <c r="I107" s="220" t="n">
        <v>0</v>
      </c>
    </row>
    <row r="108" ht="28" customHeight="1" s="132">
      <c r="A108" s="220" t="inlineStr">
        <is>
          <t>A97</t>
        </is>
      </c>
      <c r="B108" s="220" t="inlineStr">
        <is>
          <t>LCP-2504014</t>
        </is>
      </c>
      <c r="C108" s="237" t="n">
        <v>45680</v>
      </c>
      <c r="D108" s="220" t="n">
        <v>250</v>
      </c>
      <c r="E108" s="220" t="n">
        <v>37.5</v>
      </c>
      <c r="F108" s="220" t="n">
        <v>212.5</v>
      </c>
      <c r="G108" s="220" t="n">
        <v>0</v>
      </c>
      <c r="H108" s="220" t="n">
        <v>0</v>
      </c>
      <c r="I108" s="220" t="n">
        <v>0</v>
      </c>
    </row>
    <row r="109" ht="28" customHeight="1" s="132">
      <c r="A109" s="220" t="inlineStr">
        <is>
          <t>A98</t>
        </is>
      </c>
      <c r="B109" s="220" t="inlineStr">
        <is>
          <t>LCP-2504013</t>
        </is>
      </c>
      <c r="C109" s="237" t="n">
        <v>45680</v>
      </c>
      <c r="D109" s="220" t="n">
        <v>250</v>
      </c>
      <c r="E109" s="220" t="n">
        <v>37.5</v>
      </c>
      <c r="F109" s="220" t="n">
        <v>212.5</v>
      </c>
      <c r="G109" s="220" t="n">
        <v>0</v>
      </c>
      <c r="H109" s="220" t="n">
        <v>0</v>
      </c>
      <c r="I109" s="220" t="n">
        <v>0</v>
      </c>
    </row>
    <row r="110" ht="28" customHeight="1" s="132">
      <c r="A110" s="220" t="inlineStr">
        <is>
          <t>A99</t>
        </is>
      </c>
      <c r="B110" s="220" t="inlineStr">
        <is>
          <t>LCP-2504015</t>
        </is>
      </c>
      <c r="C110" s="237" t="n">
        <v>45680</v>
      </c>
      <c r="D110" s="220" t="n">
        <v>250</v>
      </c>
      <c r="E110" s="220" t="n">
        <v>37.5</v>
      </c>
      <c r="F110" s="220" t="n">
        <v>212.5</v>
      </c>
      <c r="G110" s="220" t="n">
        <v>0</v>
      </c>
      <c r="H110" s="220" t="n">
        <v>0</v>
      </c>
      <c r="I110" s="220" t="n">
        <v>0</v>
      </c>
    </row>
    <row r="111" ht="28" customHeight="1" s="132">
      <c r="A111" s="220" t="inlineStr">
        <is>
          <t>A100</t>
        </is>
      </c>
      <c r="B111" s="220" t="inlineStr">
        <is>
          <t>LCP-2504010</t>
        </is>
      </c>
      <c r="C111" s="237" t="n">
        <v>45680</v>
      </c>
      <c r="D111" s="220" t="n">
        <v>250</v>
      </c>
      <c r="E111" s="220" t="n">
        <v>37.5</v>
      </c>
      <c r="F111" s="220" t="n">
        <v>212.5</v>
      </c>
      <c r="G111" s="220" t="n">
        <v>0</v>
      </c>
      <c r="H111" s="220" t="n">
        <v>0</v>
      </c>
      <c r="I111" s="220" t="n">
        <v>0</v>
      </c>
    </row>
    <row r="112" ht="28" customHeight="1" s="132">
      <c r="A112" s="220" t="inlineStr">
        <is>
          <t>A101</t>
        </is>
      </c>
      <c r="B112" s="220" t="inlineStr">
        <is>
          <t>LCC-2504011</t>
        </is>
      </c>
      <c r="C112" s="237" t="n">
        <v>45680</v>
      </c>
      <c r="D112" s="220" t="n">
        <v>370</v>
      </c>
      <c r="E112" s="220" t="n">
        <v>55.5</v>
      </c>
      <c r="F112" s="220" t="n">
        <v>314.5</v>
      </c>
      <c r="G112" s="220" t="n">
        <v>0</v>
      </c>
      <c r="H112" s="220" t="n">
        <v>0</v>
      </c>
      <c r="I112" s="220" t="n">
        <v>0</v>
      </c>
    </row>
    <row r="113" ht="28" customHeight="1" s="132">
      <c r="A113" s="220" t="inlineStr">
        <is>
          <t>A102</t>
        </is>
      </c>
      <c r="B113" s="220" t="inlineStr">
        <is>
          <t>LCC-2504012</t>
        </is>
      </c>
      <c r="C113" s="237" t="n">
        <v>45680</v>
      </c>
      <c r="D113" s="220" t="n">
        <v>210</v>
      </c>
      <c r="E113" s="220" t="n">
        <v>31.5</v>
      </c>
      <c r="F113" s="220" t="n">
        <v>178.5</v>
      </c>
      <c r="G113" s="220" t="n">
        <v>0</v>
      </c>
      <c r="H113" s="220" t="n">
        <v>0</v>
      </c>
      <c r="I113" s="220" t="n">
        <v>0</v>
      </c>
    </row>
    <row r="114" ht="28" customHeight="1" s="132">
      <c r="A114" s="220" t="inlineStr">
        <is>
          <t>A103</t>
        </is>
      </c>
      <c r="B114" s="220" t="inlineStr">
        <is>
          <t>LCC-2504032</t>
        </is>
      </c>
      <c r="C114" s="237" t="n">
        <v>45681</v>
      </c>
      <c r="D114" s="220" t="n">
        <v>455</v>
      </c>
      <c r="E114" s="220" t="n">
        <v>68.25</v>
      </c>
      <c r="F114" s="220" t="n">
        <v>386.75</v>
      </c>
      <c r="G114" s="220" t="n">
        <v>0</v>
      </c>
      <c r="H114" s="220" t="n">
        <v>0</v>
      </c>
      <c r="I114" s="220" t="n">
        <v>0</v>
      </c>
    </row>
    <row r="115" ht="28" customHeight="1" s="132">
      <c r="A115" s="220" t="inlineStr">
        <is>
          <t>A104</t>
        </is>
      </c>
      <c r="B115" s="220" t="inlineStr">
        <is>
          <t>LCP-2504025</t>
        </is>
      </c>
      <c r="C115" s="237" t="n">
        <v>45681</v>
      </c>
      <c r="D115" s="220" t="n">
        <v>250</v>
      </c>
      <c r="E115" s="220" t="n">
        <v>37.5</v>
      </c>
      <c r="F115" s="220" t="n">
        <v>212.5</v>
      </c>
      <c r="G115" s="220" t="n">
        <v>0</v>
      </c>
      <c r="H115" s="220" t="n">
        <v>0</v>
      </c>
      <c r="I115" s="220" t="n">
        <v>0</v>
      </c>
    </row>
    <row r="116" ht="28" customHeight="1" s="132">
      <c r="A116" s="220" t="inlineStr">
        <is>
          <t>A105</t>
        </is>
      </c>
      <c r="B116" s="220" t="inlineStr">
        <is>
          <t>LCP-2504023</t>
        </is>
      </c>
      <c r="C116" s="237" t="n">
        <v>45681</v>
      </c>
      <c r="D116" s="220" t="n">
        <v>250</v>
      </c>
      <c r="E116" s="220" t="n">
        <v>37.5</v>
      </c>
      <c r="F116" s="220" t="n">
        <v>212.5</v>
      </c>
      <c r="G116" s="220" t="n">
        <v>0</v>
      </c>
      <c r="H116" s="220" t="n">
        <v>0</v>
      </c>
      <c r="I116" s="220" t="n">
        <v>0</v>
      </c>
    </row>
    <row r="117" ht="28" customHeight="1" s="132">
      <c r="A117" s="220" t="inlineStr">
        <is>
          <t>A106</t>
        </is>
      </c>
      <c r="B117" s="220" t="inlineStr">
        <is>
          <t>LCP-2504019</t>
        </is>
      </c>
      <c r="C117" s="237" t="n">
        <v>45681</v>
      </c>
      <c r="D117" s="220" t="n">
        <v>250</v>
      </c>
      <c r="E117" s="220" t="n">
        <v>37.5</v>
      </c>
      <c r="F117" s="220" t="n">
        <v>212.5</v>
      </c>
      <c r="G117" s="220" t="n">
        <v>0</v>
      </c>
      <c r="H117" s="220" t="n">
        <v>0</v>
      </c>
      <c r="I117" s="220" t="n">
        <v>0</v>
      </c>
    </row>
    <row r="118" ht="28" customHeight="1" s="132">
      <c r="A118" s="220" t="inlineStr">
        <is>
          <t>A107</t>
        </is>
      </c>
      <c r="B118" s="220" t="inlineStr">
        <is>
          <t>LCC-2504016</t>
        </is>
      </c>
      <c r="C118" s="237" t="n">
        <v>45681</v>
      </c>
      <c r="D118" s="220" t="n">
        <v>210</v>
      </c>
      <c r="E118" s="220" t="n">
        <v>31.5</v>
      </c>
      <c r="F118" s="220" t="n">
        <v>178.5</v>
      </c>
      <c r="G118" s="220" t="n">
        <v>0</v>
      </c>
      <c r="H118" s="220" t="n">
        <v>0</v>
      </c>
      <c r="I118" s="220" t="n">
        <v>0</v>
      </c>
    </row>
    <row r="119" ht="28" customHeight="1" s="132">
      <c r="A119" s="220" t="inlineStr">
        <is>
          <t>A108</t>
        </is>
      </c>
      <c r="B119" s="220" t="inlineStr">
        <is>
          <t>LCP-2504031</t>
        </is>
      </c>
      <c r="C119" s="237" t="n">
        <v>45681</v>
      </c>
      <c r="D119" s="220" t="n">
        <v>250</v>
      </c>
      <c r="E119" s="220" t="n">
        <v>37.5</v>
      </c>
      <c r="F119" s="220" t="n">
        <v>212.5</v>
      </c>
      <c r="G119" s="220" t="n">
        <v>0</v>
      </c>
      <c r="H119" s="220" t="n">
        <v>0</v>
      </c>
      <c r="I119" s="220" t="n">
        <v>0</v>
      </c>
    </row>
    <row r="120" ht="28" customHeight="1" s="132">
      <c r="A120" s="220" t="inlineStr">
        <is>
          <t>A109</t>
        </is>
      </c>
      <c r="B120" s="220" t="inlineStr">
        <is>
          <t>LCP-2504029</t>
        </is>
      </c>
      <c r="C120" s="237" t="n">
        <v>45681</v>
      </c>
      <c r="D120" s="220" t="n">
        <v>250</v>
      </c>
      <c r="E120" s="220" t="n">
        <v>37.5</v>
      </c>
      <c r="F120" s="220" t="n">
        <v>212.5</v>
      </c>
      <c r="G120" s="220" t="n">
        <v>0</v>
      </c>
      <c r="H120" s="220" t="n">
        <v>0</v>
      </c>
      <c r="I120" s="220" t="n">
        <v>0</v>
      </c>
    </row>
    <row r="121" ht="28" customHeight="1" s="132">
      <c r="A121" s="220" t="inlineStr">
        <is>
          <t>A110</t>
        </is>
      </c>
      <c r="B121" s="220" t="inlineStr">
        <is>
          <t>LCP-2504022</t>
        </is>
      </c>
      <c r="C121" s="237" t="n">
        <v>45681</v>
      </c>
      <c r="D121" s="220" t="n">
        <v>250</v>
      </c>
      <c r="E121" s="220" t="n">
        <v>37.5</v>
      </c>
      <c r="F121" s="220" t="n">
        <v>212.5</v>
      </c>
      <c r="G121" s="220" t="n">
        <v>0</v>
      </c>
      <c r="H121" s="220" t="n">
        <v>0</v>
      </c>
      <c r="I121" s="220" t="n">
        <v>0</v>
      </c>
    </row>
    <row r="122" ht="28" customHeight="1" s="132">
      <c r="A122" s="220" t="inlineStr">
        <is>
          <t>A111</t>
        </is>
      </c>
      <c r="B122" s="220" t="inlineStr">
        <is>
          <t>LCP-2504024</t>
        </is>
      </c>
      <c r="C122" s="237" t="n">
        <v>45681</v>
      </c>
      <c r="D122" s="220" t="n">
        <v>250</v>
      </c>
      <c r="E122" s="220" t="n">
        <v>37.5</v>
      </c>
      <c r="F122" s="220" t="n">
        <v>212.5</v>
      </c>
      <c r="G122" s="220" t="n">
        <v>0</v>
      </c>
      <c r="H122" s="220" t="n">
        <v>0</v>
      </c>
      <c r="I122" s="220" t="n">
        <v>0</v>
      </c>
    </row>
    <row r="123" ht="28" customHeight="1" s="132">
      <c r="A123" s="220" t="inlineStr">
        <is>
          <t>A112</t>
        </is>
      </c>
      <c r="B123" s="220" t="inlineStr">
        <is>
          <t>LCP-2504028</t>
        </is>
      </c>
      <c r="C123" s="237" t="n">
        <v>45681</v>
      </c>
      <c r="D123" s="220" t="n">
        <v>250</v>
      </c>
      <c r="E123" s="220" t="n">
        <v>37.5</v>
      </c>
      <c r="F123" s="220" t="n">
        <v>212.5</v>
      </c>
      <c r="G123" s="220" t="n">
        <v>0</v>
      </c>
      <c r="H123" s="220" t="n">
        <v>0</v>
      </c>
      <c r="I123" s="220" t="n">
        <v>0</v>
      </c>
    </row>
    <row r="124" ht="28" customHeight="1" s="132">
      <c r="A124" s="220" t="inlineStr">
        <is>
          <t>A113</t>
        </is>
      </c>
      <c r="B124" s="220" t="inlineStr">
        <is>
          <t>LCP-2504030</t>
        </is>
      </c>
      <c r="C124" s="237" t="n">
        <v>45681</v>
      </c>
      <c r="D124" s="220" t="n">
        <v>250</v>
      </c>
      <c r="E124" s="220" t="n">
        <v>37.5</v>
      </c>
      <c r="F124" s="220" t="n">
        <v>212.5</v>
      </c>
      <c r="G124" s="220" t="n">
        <v>0</v>
      </c>
      <c r="H124" s="220" t="n">
        <v>0</v>
      </c>
      <c r="I124" s="220" t="n">
        <v>0</v>
      </c>
    </row>
    <row r="125" ht="28" customHeight="1" s="132">
      <c r="A125" s="220" t="inlineStr">
        <is>
          <t>A114</t>
        </is>
      </c>
      <c r="B125" s="220" t="inlineStr">
        <is>
          <t>LCP-2504026</t>
        </is>
      </c>
      <c r="C125" s="237" t="n">
        <v>45681</v>
      </c>
      <c r="D125" s="220" t="n">
        <v>250</v>
      </c>
      <c r="E125" s="220" t="n">
        <v>37.5</v>
      </c>
      <c r="F125" s="220" t="n">
        <v>212.5</v>
      </c>
      <c r="G125" s="220" t="n">
        <v>0</v>
      </c>
      <c r="H125" s="220" t="n">
        <v>0</v>
      </c>
      <c r="I125" s="220" t="n">
        <v>0</v>
      </c>
    </row>
    <row r="126" ht="28" customHeight="1" s="132">
      <c r="A126" s="220" t="inlineStr">
        <is>
          <t>A115</t>
        </is>
      </c>
      <c r="B126" s="220" t="inlineStr">
        <is>
          <t>LCP-2504027</t>
        </is>
      </c>
      <c r="C126" s="237" t="n">
        <v>45681</v>
      </c>
      <c r="D126" s="220" t="n">
        <v>250</v>
      </c>
      <c r="E126" s="220" t="n">
        <v>37.5</v>
      </c>
      <c r="F126" s="220" t="n">
        <v>212.5</v>
      </c>
      <c r="G126" s="220" t="n">
        <v>0</v>
      </c>
      <c r="H126" s="220" t="n">
        <v>0</v>
      </c>
      <c r="I126" s="220" t="n">
        <v>0</v>
      </c>
    </row>
    <row r="127" ht="28" customHeight="1" s="132">
      <c r="A127" s="220" t="inlineStr">
        <is>
          <t>A116</t>
        </is>
      </c>
      <c r="B127" s="220" t="inlineStr">
        <is>
          <t>LCP-2504017</t>
        </is>
      </c>
      <c r="C127" s="237" t="n">
        <v>45681</v>
      </c>
      <c r="D127" s="220" t="n">
        <v>250</v>
      </c>
      <c r="E127" s="220" t="n">
        <v>37.5</v>
      </c>
      <c r="F127" s="220" t="n">
        <v>212.5</v>
      </c>
      <c r="G127" s="220" t="n">
        <v>0</v>
      </c>
      <c r="H127" s="220" t="n">
        <v>0</v>
      </c>
      <c r="I127" s="220" t="n">
        <v>0</v>
      </c>
    </row>
    <row r="128" ht="28" customHeight="1" s="132">
      <c r="A128" s="220" t="inlineStr">
        <is>
          <t>A117</t>
        </is>
      </c>
      <c r="B128" s="220" t="inlineStr">
        <is>
          <t>LCP-2504021</t>
        </is>
      </c>
      <c r="C128" s="237" t="n">
        <v>45681</v>
      </c>
      <c r="D128" s="220" t="n">
        <v>250</v>
      </c>
      <c r="E128" s="220" t="n">
        <v>37.5</v>
      </c>
      <c r="F128" s="220" t="n">
        <v>212.5</v>
      </c>
      <c r="G128" s="220" t="n">
        <v>0</v>
      </c>
      <c r="H128" s="220" t="n">
        <v>0</v>
      </c>
      <c r="I128" s="220" t="n">
        <v>0</v>
      </c>
    </row>
    <row r="129" ht="28" customHeight="1" s="132">
      <c r="A129" s="220" t="inlineStr">
        <is>
          <t>A118</t>
        </is>
      </c>
      <c r="B129" s="220" t="inlineStr">
        <is>
          <t>LCC-2504034</t>
        </is>
      </c>
      <c r="C129" s="237" t="n">
        <v>45684</v>
      </c>
      <c r="D129" s="220" t="n">
        <v>250</v>
      </c>
      <c r="E129" s="220" t="n">
        <v>37.5</v>
      </c>
      <c r="F129" s="220" t="n">
        <v>212.5</v>
      </c>
      <c r="G129" s="220" t="n">
        <v>0</v>
      </c>
      <c r="H129" s="220" t="n">
        <v>0</v>
      </c>
      <c r="I129" s="220" t="n">
        <v>0</v>
      </c>
    </row>
    <row r="130" ht="28" customHeight="1" s="132">
      <c r="A130" s="220" t="inlineStr">
        <is>
          <t>A119</t>
        </is>
      </c>
      <c r="B130" s="220" t="inlineStr">
        <is>
          <t>LCC-2504035</t>
        </is>
      </c>
      <c r="C130" s="237" t="n">
        <v>45684</v>
      </c>
      <c r="D130" s="220" t="n">
        <v>500</v>
      </c>
      <c r="E130" s="220" t="n">
        <v>75</v>
      </c>
      <c r="F130" s="220" t="n">
        <v>425</v>
      </c>
      <c r="G130" s="220" t="n">
        <v>0</v>
      </c>
      <c r="H130" s="220" t="n">
        <v>0</v>
      </c>
      <c r="I130" s="220" t="n">
        <v>0</v>
      </c>
    </row>
    <row r="131" ht="28" customHeight="1" s="132">
      <c r="A131" s="220" t="inlineStr">
        <is>
          <t>A120</t>
        </is>
      </c>
      <c r="B131" s="220" t="inlineStr">
        <is>
          <t>LCC-2504036</t>
        </is>
      </c>
      <c r="C131" s="237" t="n">
        <v>45684</v>
      </c>
      <c r="D131" s="220" t="n">
        <v>575</v>
      </c>
      <c r="E131" s="220" t="n">
        <v>86.25</v>
      </c>
      <c r="F131" s="220" t="n">
        <v>488.75</v>
      </c>
      <c r="G131" s="220" t="n">
        <v>0</v>
      </c>
      <c r="H131" s="220" t="n">
        <v>0</v>
      </c>
      <c r="I131" s="220" t="n">
        <v>0</v>
      </c>
    </row>
    <row r="132" ht="28" customHeight="1" s="132">
      <c r="A132" s="220" t="inlineStr">
        <is>
          <t>A121</t>
        </is>
      </c>
      <c r="B132" s="220" t="inlineStr">
        <is>
          <t>LCC-2504037</t>
        </is>
      </c>
      <c r="C132" s="237" t="n">
        <v>45685</v>
      </c>
      <c r="D132" s="220" t="n">
        <v>37088.9</v>
      </c>
      <c r="E132" s="220" t="n">
        <v>5563.34</v>
      </c>
      <c r="F132" s="220" t="n">
        <v>31525.56</v>
      </c>
      <c r="G132" s="220" t="n">
        <v>0</v>
      </c>
      <c r="H132" s="220" t="n">
        <v>0</v>
      </c>
      <c r="I132" s="220" t="n">
        <v>0</v>
      </c>
    </row>
    <row r="133" ht="28" customHeight="1" s="132">
      <c r="A133" s="220" t="inlineStr">
        <is>
          <t>A122</t>
        </is>
      </c>
      <c r="B133" s="220" t="inlineStr">
        <is>
          <t>LCC-2504039</t>
        </is>
      </c>
      <c r="C133" s="237" t="n">
        <v>45687</v>
      </c>
      <c r="D133" s="220" t="n">
        <v>210</v>
      </c>
      <c r="E133" s="220" t="n">
        <v>31.5</v>
      </c>
      <c r="F133" s="220" t="n">
        <v>178.5</v>
      </c>
      <c r="G133" s="220" t="n">
        <v>0</v>
      </c>
      <c r="H133" s="220" t="n">
        <v>0</v>
      </c>
      <c r="I133" s="220" t="n">
        <v>0</v>
      </c>
    </row>
    <row r="134" ht="28" customHeight="1" s="132">
      <c r="A134" s="220" t="inlineStr">
        <is>
          <t>A123</t>
        </is>
      </c>
      <c r="B134" s="220" t="inlineStr">
        <is>
          <t>LCC-2504038</t>
        </is>
      </c>
      <c r="C134" s="237" t="n">
        <v>45688</v>
      </c>
      <c r="D134" s="220" t="n">
        <v>4250</v>
      </c>
      <c r="E134" s="220" t="n">
        <v>637.5</v>
      </c>
      <c r="F134" s="220" t="n">
        <v>3612.5</v>
      </c>
      <c r="G134" s="220" t="n">
        <v>0</v>
      </c>
      <c r="H134" s="220" t="n">
        <v>0</v>
      </c>
      <c r="I134" s="220" t="n">
        <v>0</v>
      </c>
    </row>
    <row r="135" ht="28" customHeight="1" s="132">
      <c r="A135" s="220" t="inlineStr">
        <is>
          <t>A124</t>
        </is>
      </c>
      <c r="B135" s="220" t="inlineStr">
        <is>
          <t>LCP-2504040</t>
        </is>
      </c>
      <c r="C135" s="237" t="n">
        <v>45688</v>
      </c>
      <c r="D135" s="220" t="n">
        <v>250</v>
      </c>
      <c r="E135" s="220" t="n">
        <v>37.5</v>
      </c>
      <c r="F135" s="220" t="n">
        <v>212.5</v>
      </c>
      <c r="G135" s="220" t="n">
        <v>0</v>
      </c>
      <c r="H135" s="220" t="n">
        <v>0</v>
      </c>
      <c r="I135" s="220" t="n">
        <v>0</v>
      </c>
    </row>
    <row r="136" ht="28" customHeight="1" s="132">
      <c r="A136" s="220" t="inlineStr">
        <is>
          <t>A125</t>
        </is>
      </c>
      <c r="B136" s="220" t="inlineStr">
        <is>
          <t>LCC-2504042</t>
        </is>
      </c>
      <c r="C136" s="237" t="n">
        <v>45691</v>
      </c>
      <c r="D136" s="220" t="n">
        <v>210</v>
      </c>
      <c r="E136" s="220" t="n">
        <v>31.5</v>
      </c>
      <c r="F136" s="220" t="n">
        <v>178.5</v>
      </c>
      <c r="G136" s="220" t="n">
        <v>0</v>
      </c>
      <c r="H136" s="220" t="n">
        <v>0</v>
      </c>
      <c r="I136" s="220" t="n">
        <v>0</v>
      </c>
    </row>
    <row r="137" ht="28" customHeight="1" s="132">
      <c r="A137" s="220" t="inlineStr">
        <is>
          <t>A126</t>
        </is>
      </c>
      <c r="B137" s="220" t="inlineStr">
        <is>
          <t>LCP-2504041</t>
        </is>
      </c>
      <c r="C137" s="237" t="n">
        <v>45691</v>
      </c>
      <c r="D137" s="220" t="n">
        <v>250</v>
      </c>
      <c r="E137" s="220" t="n">
        <v>37.5</v>
      </c>
      <c r="F137" s="220" t="n">
        <v>212.5</v>
      </c>
      <c r="G137" s="220" t="n">
        <v>0</v>
      </c>
      <c r="H137" s="220" t="n">
        <v>0</v>
      </c>
      <c r="I137" s="220" t="n">
        <v>0</v>
      </c>
    </row>
    <row r="138" ht="28" customHeight="1" s="132">
      <c r="A138" s="220" t="inlineStr">
        <is>
          <t>A127</t>
        </is>
      </c>
      <c r="B138" s="220" t="inlineStr">
        <is>
          <t>LCC-2504045</t>
        </is>
      </c>
      <c r="C138" s="237" t="n">
        <v>45692</v>
      </c>
      <c r="D138" s="220" t="n">
        <v>6630</v>
      </c>
      <c r="E138" s="220" t="n">
        <v>994.5</v>
      </c>
      <c r="F138" s="220" t="n">
        <v>5635.5</v>
      </c>
      <c r="G138" s="220" t="n">
        <v>0</v>
      </c>
      <c r="H138" s="220" t="n">
        <v>0</v>
      </c>
      <c r="I138" s="220" t="n">
        <v>0</v>
      </c>
    </row>
    <row r="139" ht="28" customHeight="1" s="132">
      <c r="A139" s="220" t="inlineStr">
        <is>
          <t>A128</t>
        </is>
      </c>
      <c r="B139" s="220" t="inlineStr">
        <is>
          <t>LCC-2504043</t>
        </is>
      </c>
      <c r="C139" s="237" t="n">
        <v>45692</v>
      </c>
      <c r="D139" s="220" t="n">
        <v>210</v>
      </c>
      <c r="E139" s="220" t="n">
        <v>31.5</v>
      </c>
      <c r="F139" s="220" t="n">
        <v>178.5</v>
      </c>
      <c r="G139" s="220" t="n">
        <v>0</v>
      </c>
      <c r="H139" s="220" t="n">
        <v>0</v>
      </c>
      <c r="I139" s="220" t="n">
        <v>0</v>
      </c>
    </row>
    <row r="140" ht="28" customHeight="1" s="132">
      <c r="A140" s="220" t="inlineStr">
        <is>
          <t>A129</t>
        </is>
      </c>
      <c r="B140" s="220" t="inlineStr">
        <is>
          <t>LCC-2504046</t>
        </is>
      </c>
      <c r="C140" s="237" t="n">
        <v>45693</v>
      </c>
      <c r="D140" s="220" t="n">
        <v>743</v>
      </c>
      <c r="E140" s="220" t="n">
        <v>111.45</v>
      </c>
      <c r="F140" s="220" t="n">
        <v>631.55</v>
      </c>
      <c r="G140" s="220" t="n">
        <v>0</v>
      </c>
      <c r="H140" s="220" t="n">
        <v>0</v>
      </c>
      <c r="I140" s="220" t="n">
        <v>0</v>
      </c>
    </row>
    <row r="141" ht="28" customHeight="1" s="132">
      <c r="A141" s="220" t="inlineStr">
        <is>
          <t>A130</t>
        </is>
      </c>
      <c r="B141" s="220" t="inlineStr">
        <is>
          <t>LCC-2504048</t>
        </is>
      </c>
      <c r="C141" s="237" t="n">
        <v>45694</v>
      </c>
      <c r="D141" s="220" t="n">
        <v>600</v>
      </c>
      <c r="E141" s="220" t="n">
        <v>90</v>
      </c>
      <c r="F141" s="220" t="n">
        <v>510</v>
      </c>
      <c r="G141" s="220" t="n">
        <v>0</v>
      </c>
      <c r="H141" s="220" t="n">
        <v>0</v>
      </c>
      <c r="I141" s="220" t="n">
        <v>0</v>
      </c>
    </row>
    <row r="142" ht="28" customHeight="1" s="132">
      <c r="A142" s="220" t="inlineStr">
        <is>
          <t>A131</t>
        </is>
      </c>
      <c r="B142" s="220" t="inlineStr">
        <is>
          <t>LCC-2504049</t>
        </is>
      </c>
      <c r="C142" s="237" t="n">
        <v>45694</v>
      </c>
      <c r="D142" s="220" t="n">
        <v>600</v>
      </c>
      <c r="E142" s="220" t="n">
        <v>90</v>
      </c>
      <c r="F142" s="220" t="n">
        <v>510</v>
      </c>
      <c r="G142" s="220" t="n">
        <v>0</v>
      </c>
      <c r="H142" s="220" t="n">
        <v>0</v>
      </c>
      <c r="I142" s="220" t="n">
        <v>0</v>
      </c>
    </row>
    <row r="143" ht="28" customHeight="1" s="132">
      <c r="A143" s="220" t="inlineStr">
        <is>
          <t>A132</t>
        </is>
      </c>
      <c r="B143" s="220" t="inlineStr">
        <is>
          <t>LCC-2504051</t>
        </is>
      </c>
      <c r="C143" s="237" t="n">
        <v>45695</v>
      </c>
      <c r="D143" s="220" t="n">
        <v>670</v>
      </c>
      <c r="E143" s="220" t="n">
        <v>100.5</v>
      </c>
      <c r="F143" s="220" t="n">
        <v>569.5</v>
      </c>
      <c r="G143" s="220" t="n">
        <v>0</v>
      </c>
      <c r="H143" s="220" t="n">
        <v>0</v>
      </c>
      <c r="I143" s="220" t="n">
        <v>0</v>
      </c>
    </row>
    <row r="144" ht="28" customHeight="1" s="132">
      <c r="A144" s="220" t="inlineStr">
        <is>
          <t>A133</t>
        </is>
      </c>
      <c r="B144" s="220" t="inlineStr">
        <is>
          <t>LCC-2504052</t>
        </is>
      </c>
      <c r="C144" s="237" t="n">
        <v>45695</v>
      </c>
      <c r="D144" s="220" t="n">
        <v>210</v>
      </c>
      <c r="E144" s="220" t="n">
        <v>31.5</v>
      </c>
      <c r="F144" s="220" t="n">
        <v>178.5</v>
      </c>
      <c r="G144" s="220" t="n">
        <v>0</v>
      </c>
      <c r="H144" s="220" t="n">
        <v>0</v>
      </c>
      <c r="I144" s="220" t="n">
        <v>0</v>
      </c>
    </row>
    <row r="145" ht="28" customHeight="1" s="132">
      <c r="A145" s="220" t="inlineStr">
        <is>
          <t>A134</t>
        </is>
      </c>
      <c r="B145" s="220" t="inlineStr">
        <is>
          <t>LCC-2504053</t>
        </is>
      </c>
      <c r="C145" s="237" t="n">
        <v>45695</v>
      </c>
      <c r="D145" s="220" t="n">
        <v>210</v>
      </c>
      <c r="E145" s="220" t="n">
        <v>31.5</v>
      </c>
      <c r="F145" s="220" t="n">
        <v>178.5</v>
      </c>
      <c r="G145" s="220" t="n">
        <v>0</v>
      </c>
      <c r="H145" s="220" t="n">
        <v>0</v>
      </c>
      <c r="I145" s="220" t="n">
        <v>0</v>
      </c>
    </row>
    <row r="146" ht="28" customHeight="1" s="132">
      <c r="A146" s="220" t="inlineStr">
        <is>
          <t>A135</t>
        </is>
      </c>
      <c r="B146" s="220" t="inlineStr">
        <is>
          <t>LCC-2504055</t>
        </is>
      </c>
      <c r="C146" s="237" t="n">
        <v>45698</v>
      </c>
      <c r="D146" s="220" t="n">
        <v>350</v>
      </c>
      <c r="E146" s="220" t="n">
        <v>52.5</v>
      </c>
      <c r="F146" s="220" t="n">
        <v>297.5</v>
      </c>
      <c r="G146" s="220" t="n">
        <v>0</v>
      </c>
      <c r="H146" s="220" t="n">
        <v>0</v>
      </c>
      <c r="I146" s="220" t="n">
        <v>0</v>
      </c>
    </row>
    <row r="147" ht="28" customHeight="1" s="132">
      <c r="A147" s="220" t="inlineStr">
        <is>
          <t>A136</t>
        </is>
      </c>
      <c r="B147" s="220" t="inlineStr">
        <is>
          <t>LCC-2504056</t>
        </is>
      </c>
      <c r="C147" s="237" t="n">
        <v>45699</v>
      </c>
      <c r="D147" s="220" t="n">
        <v>500</v>
      </c>
      <c r="E147" s="220" t="n">
        <v>75</v>
      </c>
      <c r="F147" s="220" t="n">
        <v>425</v>
      </c>
      <c r="G147" s="220" t="n">
        <v>0</v>
      </c>
      <c r="H147" s="220" t="n">
        <v>0</v>
      </c>
      <c r="I147" s="220" t="n">
        <v>0</v>
      </c>
    </row>
    <row r="148" ht="28" customHeight="1" s="132">
      <c r="A148" s="220" t="inlineStr">
        <is>
          <t>A137</t>
        </is>
      </c>
      <c r="B148" s="220" t="inlineStr">
        <is>
          <t>LCC-2504058</t>
        </is>
      </c>
      <c r="C148" s="237" t="n">
        <v>45700</v>
      </c>
      <c r="D148" s="220" t="n">
        <v>210</v>
      </c>
      <c r="E148" s="220" t="n">
        <v>31.5</v>
      </c>
      <c r="F148" s="220" t="n">
        <v>178.5</v>
      </c>
      <c r="G148" s="220" t="n">
        <v>0</v>
      </c>
      <c r="H148" s="220" t="n">
        <v>0</v>
      </c>
      <c r="I148" s="220" t="n">
        <v>0</v>
      </c>
    </row>
    <row r="149" ht="28" customHeight="1" s="132">
      <c r="A149" s="220" t="inlineStr">
        <is>
          <t>A138</t>
        </is>
      </c>
      <c r="B149" s="220" t="inlineStr">
        <is>
          <t>LCP-2504060</t>
        </is>
      </c>
      <c r="C149" s="237" t="n">
        <v>45700</v>
      </c>
      <c r="D149" s="220" t="n">
        <v>250</v>
      </c>
      <c r="E149" s="220" t="n">
        <v>37.5</v>
      </c>
      <c r="F149" s="220" t="n">
        <v>212.5</v>
      </c>
      <c r="G149" s="220" t="n">
        <v>0</v>
      </c>
      <c r="H149" s="220" t="n">
        <v>0</v>
      </c>
      <c r="I149" s="220" t="n">
        <v>0</v>
      </c>
    </row>
    <row r="150" ht="28" customHeight="1" s="132">
      <c r="A150" s="220" t="inlineStr">
        <is>
          <t>A139</t>
        </is>
      </c>
      <c r="B150" s="220" t="inlineStr">
        <is>
          <t>LCC-2504057</t>
        </is>
      </c>
      <c r="C150" s="237" t="n">
        <v>45700</v>
      </c>
      <c r="D150" s="220" t="n">
        <v>250</v>
      </c>
      <c r="E150" s="220" t="n">
        <v>37.5</v>
      </c>
      <c r="F150" s="220" t="n">
        <v>212.5</v>
      </c>
      <c r="G150" s="220" t="n">
        <v>0</v>
      </c>
      <c r="H150" s="220" t="n">
        <v>0</v>
      </c>
      <c r="I150" s="220" t="n">
        <v>0</v>
      </c>
    </row>
    <row r="151" ht="28" customHeight="1" s="132">
      <c r="A151" s="220" t="inlineStr">
        <is>
          <t>A140</t>
        </is>
      </c>
      <c r="B151" s="220" t="inlineStr">
        <is>
          <t>LCC-2504061</t>
        </is>
      </c>
      <c r="C151" s="237" t="n">
        <v>45701</v>
      </c>
      <c r="D151" s="220" t="n">
        <v>250</v>
      </c>
      <c r="E151" s="220" t="n">
        <v>37.5</v>
      </c>
      <c r="F151" s="220" t="n">
        <v>212.5</v>
      </c>
      <c r="G151" s="220" t="n">
        <v>0</v>
      </c>
      <c r="H151" s="220" t="n">
        <v>0</v>
      </c>
      <c r="I151" s="220" t="n">
        <v>0</v>
      </c>
    </row>
    <row r="152" ht="28" customHeight="1" s="132">
      <c r="A152" s="220" t="inlineStr">
        <is>
          <t>A141</t>
        </is>
      </c>
      <c r="B152" s="220" t="inlineStr">
        <is>
          <t>LCC-2504064</t>
        </is>
      </c>
      <c r="C152" s="237" t="n">
        <v>45702</v>
      </c>
      <c r="D152" s="220" t="n">
        <v>123</v>
      </c>
      <c r="E152" s="220" t="n">
        <v>18.45</v>
      </c>
      <c r="F152" s="220" t="n">
        <v>104.55</v>
      </c>
      <c r="G152" s="220" t="n">
        <v>0</v>
      </c>
      <c r="H152" s="220" t="n">
        <v>0</v>
      </c>
      <c r="I152" s="220" t="n">
        <v>0</v>
      </c>
    </row>
    <row r="153" ht="28" customHeight="1" s="132">
      <c r="A153" s="220" t="inlineStr">
        <is>
          <t>A142</t>
        </is>
      </c>
      <c r="B153" s="220" t="inlineStr">
        <is>
          <t>LCC-2504063</t>
        </is>
      </c>
      <c r="C153" s="237" t="n">
        <v>45702</v>
      </c>
      <c r="D153" s="220" t="n">
        <v>250</v>
      </c>
      <c r="E153" s="220" t="n">
        <v>37.5</v>
      </c>
      <c r="F153" s="220" t="n">
        <v>212.5</v>
      </c>
      <c r="G153" s="220" t="n">
        <v>0</v>
      </c>
      <c r="H153" s="220" t="n">
        <v>0</v>
      </c>
      <c r="I153" s="220" t="n">
        <v>0</v>
      </c>
    </row>
    <row r="154" ht="28" customHeight="1" s="132">
      <c r="A154" s="220" t="inlineStr">
        <is>
          <t>A143</t>
        </is>
      </c>
      <c r="B154" s="220" t="inlineStr">
        <is>
          <t>LCC-2504062</t>
        </is>
      </c>
      <c r="C154" s="237" t="n">
        <v>45702</v>
      </c>
      <c r="D154" s="220" t="n">
        <v>1400</v>
      </c>
      <c r="E154" s="220" t="n">
        <v>210</v>
      </c>
      <c r="F154" s="220" t="n">
        <v>1190</v>
      </c>
      <c r="G154" s="220" t="n">
        <v>0</v>
      </c>
      <c r="H154" s="220" t="n">
        <v>0</v>
      </c>
      <c r="I154" s="220" t="n">
        <v>0</v>
      </c>
    </row>
    <row r="155" ht="28" customHeight="1" s="132">
      <c r="A155" s="220" t="inlineStr">
        <is>
          <t>A144</t>
        </is>
      </c>
      <c r="B155" s="220" t="inlineStr">
        <is>
          <t>LCC-2504066</t>
        </is>
      </c>
      <c r="C155" s="237" t="n">
        <v>45705</v>
      </c>
      <c r="D155" s="220" t="n">
        <v>2430</v>
      </c>
      <c r="E155" s="220" t="n">
        <v>364.5</v>
      </c>
      <c r="F155" s="220" t="n">
        <v>2065.5</v>
      </c>
      <c r="G155" s="220" t="n">
        <v>0</v>
      </c>
      <c r="H155" s="220" t="n">
        <v>0</v>
      </c>
      <c r="I155" s="220" t="n">
        <v>0</v>
      </c>
    </row>
    <row r="156" ht="28" customHeight="1" s="132">
      <c r="A156" s="220" t="inlineStr">
        <is>
          <t>A145</t>
        </is>
      </c>
      <c r="B156" s="220" t="inlineStr">
        <is>
          <t>LCP-2504067</t>
        </is>
      </c>
      <c r="C156" s="237" t="n">
        <v>45705</v>
      </c>
      <c r="D156" s="220" t="n">
        <v>250</v>
      </c>
      <c r="E156" s="220" t="n">
        <v>37.5</v>
      </c>
      <c r="F156" s="220" t="n">
        <v>212.5</v>
      </c>
      <c r="G156" s="220" t="n">
        <v>0</v>
      </c>
      <c r="H156" s="220" t="n">
        <v>0</v>
      </c>
      <c r="I156" s="220" t="n">
        <v>0</v>
      </c>
    </row>
    <row r="157" ht="28" customHeight="1" s="132">
      <c r="A157" s="220" t="inlineStr">
        <is>
          <t>A146</t>
        </is>
      </c>
      <c r="B157" s="220" t="inlineStr">
        <is>
          <t>LCP-2504069</t>
        </is>
      </c>
      <c r="C157" s="237" t="n">
        <v>45706</v>
      </c>
      <c r="D157" s="220" t="n">
        <v>250</v>
      </c>
      <c r="E157" s="220" t="n">
        <v>37.5</v>
      </c>
      <c r="F157" s="220" t="n">
        <v>212.5</v>
      </c>
      <c r="G157" s="220" t="n">
        <v>0</v>
      </c>
      <c r="H157" s="220" t="n">
        <v>0</v>
      </c>
      <c r="I157" s="220" t="n">
        <v>0</v>
      </c>
    </row>
    <row r="158" ht="28" customHeight="1" s="132">
      <c r="A158" s="220" t="inlineStr">
        <is>
          <t>A147</t>
        </is>
      </c>
      <c r="B158" s="220" t="inlineStr">
        <is>
          <t>LCP-2504070</t>
        </is>
      </c>
      <c r="C158" s="237" t="n">
        <v>45707</v>
      </c>
      <c r="D158" s="220" t="n">
        <v>250</v>
      </c>
      <c r="E158" s="220" t="n">
        <v>37.5</v>
      </c>
      <c r="F158" s="220" t="n">
        <v>212.5</v>
      </c>
      <c r="G158" s="220" t="n">
        <v>0</v>
      </c>
      <c r="H158" s="220" t="n">
        <v>0</v>
      </c>
      <c r="I158" s="220" t="n">
        <v>0</v>
      </c>
    </row>
    <row r="159" ht="28" customHeight="1" s="132">
      <c r="A159" s="220" t="inlineStr">
        <is>
          <t>A148</t>
        </is>
      </c>
      <c r="B159" s="220" t="inlineStr">
        <is>
          <t>LCC-2504072</t>
        </is>
      </c>
      <c r="C159" s="237" t="n">
        <v>45707</v>
      </c>
      <c r="D159" s="220" t="n">
        <v>210</v>
      </c>
      <c r="E159" s="220" t="n">
        <v>31.5</v>
      </c>
      <c r="F159" s="220" t="n">
        <v>178.5</v>
      </c>
      <c r="G159" s="220" t="n">
        <v>0</v>
      </c>
      <c r="H159" s="220" t="n">
        <v>0</v>
      </c>
      <c r="I159" s="220" t="n">
        <v>0</v>
      </c>
    </row>
    <row r="160" ht="28" customHeight="1" s="132">
      <c r="A160" s="220" t="inlineStr">
        <is>
          <t>A149</t>
        </is>
      </c>
      <c r="B160" s="220" t="inlineStr">
        <is>
          <t>LCC-2504071</t>
        </is>
      </c>
      <c r="C160" s="237" t="n">
        <v>45707</v>
      </c>
      <c r="D160" s="220" t="n">
        <v>210</v>
      </c>
      <c r="E160" s="220" t="n">
        <v>31.5</v>
      </c>
      <c r="F160" s="220" t="n">
        <v>178.5</v>
      </c>
      <c r="G160" s="220" t="n">
        <v>0</v>
      </c>
      <c r="H160" s="220" t="n">
        <v>0</v>
      </c>
      <c r="I160" s="220" t="n">
        <v>0</v>
      </c>
    </row>
    <row r="161" ht="28" customHeight="1" s="132">
      <c r="A161" s="220" t="inlineStr">
        <is>
          <t>A150</t>
        </is>
      </c>
      <c r="B161" s="220" t="inlineStr">
        <is>
          <t>LCC-2504077</t>
        </is>
      </c>
      <c r="C161" s="237" t="n">
        <v>45712</v>
      </c>
      <c r="D161" s="220" t="n">
        <v>210</v>
      </c>
      <c r="E161" s="220" t="n">
        <v>31.5</v>
      </c>
      <c r="F161" s="220" t="n">
        <v>178.5</v>
      </c>
      <c r="G161" s="220" t="n">
        <v>0</v>
      </c>
      <c r="H161" s="220" t="n">
        <v>0</v>
      </c>
      <c r="I161" s="220" t="n">
        <v>0</v>
      </c>
    </row>
    <row r="162" ht="28" customHeight="1" s="132">
      <c r="A162" s="220" t="inlineStr">
        <is>
          <t>A151</t>
        </is>
      </c>
      <c r="B162" s="220" t="inlineStr">
        <is>
          <t>LCC-2504076</t>
        </is>
      </c>
      <c r="C162" s="237" t="n">
        <v>45712</v>
      </c>
      <c r="D162" s="220" t="n">
        <v>350</v>
      </c>
      <c r="E162" s="220" t="n">
        <v>52.5</v>
      </c>
      <c r="F162" s="220" t="n">
        <v>297.5</v>
      </c>
      <c r="G162" s="220" t="n">
        <v>0</v>
      </c>
      <c r="H162" s="220" t="n">
        <v>0</v>
      </c>
      <c r="I162" s="220" t="n">
        <v>0</v>
      </c>
    </row>
    <row r="163" ht="28" customHeight="1" s="132">
      <c r="A163" s="220" t="inlineStr">
        <is>
          <t>A152</t>
        </is>
      </c>
      <c r="B163" s="220" t="inlineStr">
        <is>
          <t>LCC-2504074</t>
        </is>
      </c>
      <c r="C163" s="237" t="n">
        <v>45712</v>
      </c>
      <c r="D163" s="220" t="n">
        <v>750</v>
      </c>
      <c r="E163" s="220" t="n">
        <v>112.5</v>
      </c>
      <c r="F163" s="220" t="n">
        <v>637.5</v>
      </c>
      <c r="G163" s="220" t="n">
        <v>0</v>
      </c>
      <c r="H163" s="220" t="n">
        <v>0</v>
      </c>
      <c r="I163" s="220" t="n">
        <v>0</v>
      </c>
    </row>
    <row r="164" ht="28" customHeight="1" s="132">
      <c r="A164" s="220" t="inlineStr">
        <is>
          <t>A153</t>
        </is>
      </c>
      <c r="B164" s="220" t="inlineStr">
        <is>
          <t>LCC-2504078</t>
        </is>
      </c>
      <c r="C164" s="237" t="n">
        <v>45714</v>
      </c>
      <c r="D164" s="220" t="n">
        <v>3145</v>
      </c>
      <c r="E164" s="220" t="n">
        <v>0</v>
      </c>
      <c r="F164" s="220" t="n">
        <v>3145</v>
      </c>
      <c r="G164" s="220" t="n">
        <v>0</v>
      </c>
      <c r="H164" s="220" t="n">
        <v>0</v>
      </c>
      <c r="I164" s="220" t="n">
        <v>0</v>
      </c>
    </row>
    <row r="165" ht="28" customHeight="1" s="132">
      <c r="A165" s="220" t="inlineStr">
        <is>
          <t>A154</t>
        </is>
      </c>
      <c r="B165" s="220" t="inlineStr">
        <is>
          <t>LCP-2504079</t>
        </is>
      </c>
      <c r="C165" s="237" t="n">
        <v>45715</v>
      </c>
      <c r="D165" s="220" t="n">
        <v>250</v>
      </c>
      <c r="E165" s="220" t="n">
        <v>0</v>
      </c>
      <c r="F165" s="220" t="n">
        <v>250</v>
      </c>
      <c r="G165" s="220" t="n">
        <v>0</v>
      </c>
      <c r="H165" s="220" t="n">
        <v>0</v>
      </c>
      <c r="I165" s="220" t="n">
        <v>0</v>
      </c>
    </row>
    <row r="166" ht="28" customHeight="1" s="132">
      <c r="A166" s="220" t="inlineStr">
        <is>
          <t>A155</t>
        </is>
      </c>
      <c r="B166" s="220" t="inlineStr">
        <is>
          <t>LCC-2504080</t>
        </is>
      </c>
      <c r="C166" s="237" t="n">
        <v>45715</v>
      </c>
      <c r="D166" s="220" t="n">
        <v>400</v>
      </c>
      <c r="E166" s="220" t="n">
        <v>0</v>
      </c>
      <c r="F166" s="220" t="n">
        <v>400</v>
      </c>
      <c r="G166" s="220" t="n">
        <v>0</v>
      </c>
      <c r="H166" s="220" t="n">
        <v>0</v>
      </c>
      <c r="I166" s="220" t="n">
        <v>0</v>
      </c>
    </row>
    <row r="167" ht="28" customHeight="1" s="132">
      <c r="A167" s="220" t="inlineStr">
        <is>
          <t>A156</t>
        </is>
      </c>
      <c r="B167" s="220" t="inlineStr">
        <is>
          <t>LCP-2504084</t>
        </is>
      </c>
      <c r="C167" s="237" t="n">
        <v>45716</v>
      </c>
      <c r="D167" s="220" t="n">
        <v>250</v>
      </c>
      <c r="E167" s="220" t="n">
        <v>0</v>
      </c>
      <c r="F167" s="220" t="n">
        <v>250</v>
      </c>
      <c r="G167" s="220" t="n">
        <v>0</v>
      </c>
      <c r="H167" s="220" t="n">
        <v>0</v>
      </c>
      <c r="I167" s="220" t="n">
        <v>0</v>
      </c>
    </row>
    <row r="168" ht="28" customHeight="1" s="132">
      <c r="A168" s="220" t="inlineStr">
        <is>
          <t>A157</t>
        </is>
      </c>
      <c r="B168" s="220" t="inlineStr">
        <is>
          <t>LCC-2504081</t>
        </is>
      </c>
      <c r="C168" s="237" t="n">
        <v>45716</v>
      </c>
      <c r="D168" s="220" t="n">
        <v>210</v>
      </c>
      <c r="E168" s="220" t="n">
        <v>0</v>
      </c>
      <c r="F168" s="220" t="n">
        <v>210</v>
      </c>
      <c r="G168" s="220" t="n">
        <v>0</v>
      </c>
      <c r="H168" s="220" t="n">
        <v>0</v>
      </c>
      <c r="I168" s="220" t="n">
        <v>0</v>
      </c>
    </row>
    <row r="169" ht="28" customHeight="1" s="132">
      <c r="A169" s="220" t="inlineStr">
        <is>
          <t>A158</t>
        </is>
      </c>
      <c r="B169" s="220" t="inlineStr">
        <is>
          <t>LCC-2504082</t>
        </is>
      </c>
      <c r="C169" s="237" t="n">
        <v>45716</v>
      </c>
      <c r="D169" s="220" t="n">
        <v>210</v>
      </c>
      <c r="E169" s="220" t="n">
        <v>0</v>
      </c>
      <c r="F169" s="220" t="n">
        <v>210</v>
      </c>
      <c r="G169" s="220" t="n">
        <v>0</v>
      </c>
      <c r="H169" s="220" t="n">
        <v>0</v>
      </c>
      <c r="I169" s="220" t="n">
        <v>0</v>
      </c>
    </row>
    <row r="170" ht="28" customHeight="1" s="132">
      <c r="A170" s="220" t="inlineStr">
        <is>
          <t>A159</t>
        </is>
      </c>
      <c r="B170" s="220" t="inlineStr">
        <is>
          <t>LCC-2504083</t>
        </is>
      </c>
      <c r="C170" s="237" t="n">
        <v>45716</v>
      </c>
      <c r="D170" s="220" t="n">
        <v>150</v>
      </c>
      <c r="E170" s="220" t="n">
        <v>0</v>
      </c>
      <c r="F170" s="220" t="n">
        <v>150</v>
      </c>
      <c r="G170" s="220" t="n">
        <v>0</v>
      </c>
      <c r="H170" s="220" t="n">
        <v>0</v>
      </c>
      <c r="I170" s="220" t="n">
        <v>0</v>
      </c>
    </row>
    <row r="171" ht="28" customHeight="1" s="132">
      <c r="A171" s="220" t="inlineStr">
        <is>
          <t>A160</t>
        </is>
      </c>
      <c r="B171" s="220" t="inlineStr">
        <is>
          <t>LCC-2504087</t>
        </is>
      </c>
      <c r="C171" s="237" t="n">
        <v>45716</v>
      </c>
      <c r="D171" s="220" t="n">
        <v>250</v>
      </c>
      <c r="E171" s="220" t="n">
        <v>0</v>
      </c>
      <c r="F171" s="220" t="n">
        <v>250</v>
      </c>
      <c r="G171" s="220" t="n">
        <v>0</v>
      </c>
      <c r="H171" s="220" t="n">
        <v>0</v>
      </c>
      <c r="I171" s="220" t="n">
        <v>0</v>
      </c>
    </row>
    <row r="172" ht="28" customHeight="1" s="132">
      <c r="A172" s="220" t="inlineStr">
        <is>
          <t>A161</t>
        </is>
      </c>
      <c r="B172" s="220" t="inlineStr">
        <is>
          <t>LCC-2504088</t>
        </is>
      </c>
      <c r="C172" s="237" t="n">
        <v>45716</v>
      </c>
      <c r="D172" s="220" t="n">
        <v>250</v>
      </c>
      <c r="E172" s="220" t="n">
        <v>0</v>
      </c>
      <c r="F172" s="220" t="n">
        <v>250</v>
      </c>
      <c r="G172" s="220" t="n">
        <v>0</v>
      </c>
      <c r="H172" s="220" t="n">
        <v>0</v>
      </c>
      <c r="I172" s="220" t="n">
        <v>0</v>
      </c>
    </row>
    <row r="173" ht="28" customHeight="1" s="132">
      <c r="A173" s="220" t="inlineStr">
        <is>
          <t>A162</t>
        </is>
      </c>
      <c r="B173" s="220" t="inlineStr">
        <is>
          <t>LCC-2504085</t>
        </is>
      </c>
      <c r="C173" s="237" t="n">
        <v>45716</v>
      </c>
      <c r="D173" s="220" t="n">
        <v>1829</v>
      </c>
      <c r="E173" s="220" t="n">
        <v>274.35</v>
      </c>
      <c r="F173" s="220" t="n">
        <v>1554.65</v>
      </c>
      <c r="G173" s="220" t="n">
        <v>0</v>
      </c>
      <c r="H173" s="220" t="n">
        <v>0</v>
      </c>
      <c r="I173" s="220" t="n">
        <v>0</v>
      </c>
    </row>
    <row r="174" ht="28" customHeight="1" s="132">
      <c r="A174" s="220" t="inlineStr">
        <is>
          <t>A163</t>
        </is>
      </c>
      <c r="B174" s="220" t="inlineStr">
        <is>
          <t>LCC-2504086</t>
        </is>
      </c>
      <c r="C174" s="237" t="n">
        <v>45716</v>
      </c>
      <c r="D174" s="220" t="n">
        <v>350</v>
      </c>
      <c r="E174" s="220" t="n">
        <v>0</v>
      </c>
      <c r="F174" s="220" t="n">
        <v>350</v>
      </c>
      <c r="G174" s="220" t="n">
        <v>0</v>
      </c>
      <c r="H174" s="220" t="n">
        <v>0</v>
      </c>
      <c r="I174" s="220" t="n">
        <v>0</v>
      </c>
    </row>
    <row r="175" ht="28" customHeight="1" s="132">
      <c r="A175" s="220" t="inlineStr">
        <is>
          <t>A164</t>
        </is>
      </c>
      <c r="B175" s="220" t="inlineStr">
        <is>
          <t>LCC-2504089</t>
        </is>
      </c>
      <c r="C175" s="237" t="n">
        <v>45719</v>
      </c>
      <c r="D175" s="220" t="n">
        <v>17170</v>
      </c>
      <c r="E175" s="220" t="n">
        <v>2575.5</v>
      </c>
      <c r="F175" s="220" t="n">
        <v>14594.5</v>
      </c>
      <c r="G175" s="220" t="n">
        <v>0</v>
      </c>
      <c r="H175" s="220" t="n">
        <v>0</v>
      </c>
      <c r="I175" s="220" t="n">
        <v>0</v>
      </c>
    </row>
    <row r="176" ht="28" customHeight="1" s="132">
      <c r="A176" s="220" t="inlineStr">
        <is>
          <t>A165</t>
        </is>
      </c>
      <c r="B176" s="220" t="inlineStr">
        <is>
          <t>LCP-2504091</t>
        </is>
      </c>
      <c r="C176" s="237" t="n">
        <v>45722</v>
      </c>
      <c r="D176" s="220" t="n">
        <v>250</v>
      </c>
      <c r="E176" s="220" t="n">
        <v>37.5</v>
      </c>
      <c r="F176" s="220" t="n">
        <v>212.5</v>
      </c>
      <c r="G176" s="220" t="n">
        <v>0</v>
      </c>
      <c r="H176" s="220" t="n">
        <v>0</v>
      </c>
      <c r="I176" s="220" t="n">
        <v>0</v>
      </c>
    </row>
    <row r="177" ht="28" customHeight="1" s="132">
      <c r="A177" s="220" t="inlineStr">
        <is>
          <t>A166</t>
        </is>
      </c>
      <c r="B177" s="220" t="inlineStr">
        <is>
          <t>LCC-2504096</t>
        </is>
      </c>
      <c r="C177" s="237" t="n">
        <v>45723</v>
      </c>
      <c r="D177" s="220" t="n">
        <v>6300</v>
      </c>
      <c r="E177" s="220" t="n">
        <v>945</v>
      </c>
      <c r="F177" s="220" t="n">
        <v>5355</v>
      </c>
      <c r="G177" s="220" t="n">
        <v>0</v>
      </c>
      <c r="H177" s="220" t="n">
        <v>0</v>
      </c>
      <c r="I177" s="220" t="n">
        <v>0</v>
      </c>
    </row>
    <row r="178" ht="28" customHeight="1" s="132">
      <c r="A178" s="220" t="inlineStr">
        <is>
          <t>A167</t>
        </is>
      </c>
      <c r="B178" s="220" t="inlineStr">
        <is>
          <t>LCC-2504094</t>
        </is>
      </c>
      <c r="C178" s="237" t="n">
        <v>45723</v>
      </c>
      <c r="D178" s="220" t="n">
        <v>210</v>
      </c>
      <c r="E178" s="220" t="n">
        <v>31.5</v>
      </c>
      <c r="F178" s="220" t="n">
        <v>178.5</v>
      </c>
      <c r="G178" s="220" t="n">
        <v>0</v>
      </c>
      <c r="H178" s="220" t="n">
        <v>0</v>
      </c>
      <c r="I178" s="220" t="n">
        <v>0</v>
      </c>
    </row>
    <row r="179" ht="28" customHeight="1" s="132">
      <c r="A179" s="220" t="inlineStr">
        <is>
          <t>A168</t>
        </is>
      </c>
      <c r="B179" s="220" t="inlineStr">
        <is>
          <t>LCC-2504092</t>
        </is>
      </c>
      <c r="C179" s="237" t="n">
        <v>45723</v>
      </c>
      <c r="D179" s="220" t="n">
        <v>210</v>
      </c>
      <c r="E179" s="220" t="n">
        <v>31.5</v>
      </c>
      <c r="F179" s="220" t="n">
        <v>178.5</v>
      </c>
      <c r="G179" s="220" t="n">
        <v>0</v>
      </c>
      <c r="H179" s="220" t="n">
        <v>0</v>
      </c>
      <c r="I179" s="220" t="n">
        <v>0</v>
      </c>
    </row>
    <row r="180" ht="28" customHeight="1" s="132">
      <c r="A180" s="220" t="inlineStr">
        <is>
          <t>A169</t>
        </is>
      </c>
      <c r="B180" s="220" t="inlineStr">
        <is>
          <t>LCC-2504101</t>
        </is>
      </c>
      <c r="C180" s="237" t="n">
        <v>45726</v>
      </c>
      <c r="D180" s="220" t="n">
        <v>210</v>
      </c>
      <c r="E180" s="220" t="n">
        <v>31.5</v>
      </c>
      <c r="F180" s="220" t="n">
        <v>178.5</v>
      </c>
      <c r="G180" s="220" t="n">
        <v>0</v>
      </c>
      <c r="H180" s="220" t="n">
        <v>0</v>
      </c>
      <c r="I180" s="220" t="n">
        <v>0</v>
      </c>
    </row>
    <row r="181" ht="28" customHeight="1" s="132">
      <c r="A181" s="220" t="inlineStr">
        <is>
          <t>A170</t>
        </is>
      </c>
      <c r="B181" s="220" t="inlineStr">
        <is>
          <t>LCC-2504099</t>
        </is>
      </c>
      <c r="C181" s="237" t="n">
        <v>45726</v>
      </c>
      <c r="D181" s="220" t="n">
        <v>210</v>
      </c>
      <c r="E181" s="220" t="n">
        <v>31.5</v>
      </c>
      <c r="F181" s="220" t="n">
        <v>178.5</v>
      </c>
      <c r="G181" s="220" t="n">
        <v>0</v>
      </c>
      <c r="H181" s="220" t="n">
        <v>0</v>
      </c>
      <c r="I181" s="220" t="n">
        <v>0</v>
      </c>
    </row>
    <row r="182" ht="28" customHeight="1" s="132">
      <c r="A182" s="220" t="inlineStr">
        <is>
          <t>A171</t>
        </is>
      </c>
      <c r="B182" s="220" t="inlineStr">
        <is>
          <t>LCC-2504104</t>
        </is>
      </c>
      <c r="C182" s="237" t="n">
        <v>45727</v>
      </c>
      <c r="D182" s="220" t="n">
        <v>414</v>
      </c>
      <c r="E182" s="220" t="n">
        <v>62.1</v>
      </c>
      <c r="F182" s="220" t="n">
        <v>351.9</v>
      </c>
      <c r="G182" s="220" t="n">
        <v>0</v>
      </c>
      <c r="H182" s="220" t="n">
        <v>0</v>
      </c>
      <c r="I182" s="220" t="n">
        <v>0</v>
      </c>
    </row>
    <row r="183" ht="28" customHeight="1" s="132">
      <c r="A183" s="220" t="inlineStr">
        <is>
          <t>A172</t>
        </is>
      </c>
      <c r="B183" s="220" t="inlineStr">
        <is>
          <t>LCC-2504107</t>
        </is>
      </c>
      <c r="C183" s="237" t="n">
        <v>45728</v>
      </c>
      <c r="D183" s="220" t="n">
        <v>350</v>
      </c>
      <c r="E183" s="220" t="n">
        <v>52.5</v>
      </c>
      <c r="F183" s="220" t="n">
        <v>297.5</v>
      </c>
      <c r="G183" s="220" t="n">
        <v>0</v>
      </c>
      <c r="H183" s="220" t="n">
        <v>0</v>
      </c>
      <c r="I183" s="220" t="n">
        <v>0</v>
      </c>
    </row>
    <row r="184" ht="28" customHeight="1" s="132">
      <c r="A184" s="220" t="inlineStr">
        <is>
          <t>A173</t>
        </is>
      </c>
      <c r="B184" s="220" t="inlineStr">
        <is>
          <t>LCC-2504105</t>
        </is>
      </c>
      <c r="C184" s="237" t="n">
        <v>45728</v>
      </c>
      <c r="D184" s="220" t="n">
        <v>492</v>
      </c>
      <c r="E184" s="220" t="n">
        <v>73.8</v>
      </c>
      <c r="F184" s="220" t="n">
        <v>418.2</v>
      </c>
      <c r="G184" s="220" t="n">
        <v>0</v>
      </c>
      <c r="H184" s="220" t="n">
        <v>0</v>
      </c>
      <c r="I184" s="220" t="n">
        <v>0</v>
      </c>
    </row>
    <row r="185" ht="28" customHeight="1" s="132">
      <c r="A185" s="220" t="inlineStr">
        <is>
          <t>A174</t>
        </is>
      </c>
      <c r="B185" s="220" t="inlineStr">
        <is>
          <t>LCC-2504106</t>
        </is>
      </c>
      <c r="C185" s="237" t="n">
        <v>45728</v>
      </c>
      <c r="D185" s="220" t="n">
        <v>414</v>
      </c>
      <c r="E185" s="220" t="n">
        <v>62.1</v>
      </c>
      <c r="F185" s="220" t="n">
        <v>351.9</v>
      </c>
      <c r="G185" s="220" t="n">
        <v>0</v>
      </c>
      <c r="H185" s="220" t="n">
        <v>0</v>
      </c>
      <c r="I185" s="220" t="n">
        <v>0</v>
      </c>
    </row>
    <row r="186" ht="28" customHeight="1" s="132">
      <c r="A186" s="220" t="inlineStr">
        <is>
          <t>A175</t>
        </is>
      </c>
      <c r="B186" s="220" t="inlineStr">
        <is>
          <t>LCC-2503970</t>
        </is>
      </c>
      <c r="C186" s="237" t="n">
        <v>45730</v>
      </c>
      <c r="D186" s="220" t="n">
        <v>8911.389999999999</v>
      </c>
      <c r="E186" s="220" t="n">
        <v>1336.71</v>
      </c>
      <c r="F186" s="220" t="n">
        <v>7574.68</v>
      </c>
      <c r="G186" s="220" t="n">
        <v>0</v>
      </c>
      <c r="H186" s="220" t="n">
        <v>0</v>
      </c>
      <c r="I186" s="220" t="n">
        <v>0</v>
      </c>
    </row>
    <row r="187" ht="28" customHeight="1" s="132">
      <c r="A187" s="220" t="inlineStr">
        <is>
          <t>A176</t>
        </is>
      </c>
      <c r="B187" s="220" t="inlineStr">
        <is>
          <t>LCC-2504109</t>
        </is>
      </c>
      <c r="C187" s="237" t="n">
        <v>45730</v>
      </c>
      <c r="D187" s="220" t="n">
        <v>2764.65</v>
      </c>
      <c r="E187" s="220" t="n">
        <v>414.7</v>
      </c>
      <c r="F187" s="220" t="n">
        <v>2349.95</v>
      </c>
      <c r="G187" s="220" t="n">
        <v>0</v>
      </c>
      <c r="H187" s="220" t="n">
        <v>0</v>
      </c>
      <c r="I187" s="220" t="n">
        <v>0</v>
      </c>
    </row>
    <row r="188" ht="28" customHeight="1" s="132">
      <c r="A188" s="220" t="inlineStr">
        <is>
          <t>A177</t>
        </is>
      </c>
      <c r="B188" s="220" t="inlineStr">
        <is>
          <t>LCC-2504110</t>
        </is>
      </c>
      <c r="C188" s="237" t="n">
        <v>45733</v>
      </c>
      <c r="D188" s="220" t="n">
        <v>1093</v>
      </c>
      <c r="E188" s="220" t="n">
        <v>163.95</v>
      </c>
      <c r="F188" s="220" t="n">
        <v>929.05</v>
      </c>
      <c r="G188" s="220" t="n">
        <v>0</v>
      </c>
      <c r="H188" s="220" t="n">
        <v>0</v>
      </c>
      <c r="I188" s="220" t="n">
        <v>0</v>
      </c>
    </row>
    <row r="189" ht="28" customHeight="1" s="132">
      <c r="A189" s="220" t="inlineStr">
        <is>
          <t>A178</t>
        </is>
      </c>
      <c r="B189" s="220" t="inlineStr">
        <is>
          <t>LCC-2504112</t>
        </is>
      </c>
      <c r="C189" s="237" t="n">
        <v>45733</v>
      </c>
      <c r="D189" s="220" t="n">
        <v>9208.34</v>
      </c>
      <c r="E189" s="220" t="n">
        <v>1381.25</v>
      </c>
      <c r="F189" s="220" t="n">
        <v>7827.09</v>
      </c>
      <c r="G189" s="220" t="n">
        <v>0</v>
      </c>
      <c r="H189" s="220" t="n">
        <v>0</v>
      </c>
      <c r="I189" s="220" t="n">
        <v>0</v>
      </c>
    </row>
    <row r="190" ht="28" customHeight="1" s="132">
      <c r="A190" s="220" t="inlineStr">
        <is>
          <t>A179</t>
        </is>
      </c>
      <c r="B190" s="220" t="inlineStr">
        <is>
          <t>LCC-2504111</t>
        </is>
      </c>
      <c r="C190" s="237" t="n">
        <v>45733</v>
      </c>
      <c r="D190" s="220" t="n">
        <v>210</v>
      </c>
      <c r="E190" s="220" t="n">
        <v>31.5</v>
      </c>
      <c r="F190" s="220" t="n">
        <v>178.5</v>
      </c>
      <c r="G190" s="220" t="n">
        <v>0</v>
      </c>
      <c r="H190" s="220" t="n">
        <v>0</v>
      </c>
      <c r="I190" s="220" t="n">
        <v>0</v>
      </c>
    </row>
    <row r="191" ht="28" customHeight="1" s="132">
      <c r="A191" s="220" t="inlineStr">
        <is>
          <t>A180</t>
        </is>
      </c>
      <c r="B191" s="220" t="inlineStr">
        <is>
          <t>LCC-2504113</t>
        </is>
      </c>
      <c r="C191" s="237" t="n">
        <v>45734</v>
      </c>
      <c r="D191" s="220" t="n">
        <v>1000</v>
      </c>
      <c r="E191" s="220" t="n">
        <v>150</v>
      </c>
      <c r="F191" s="220" t="n">
        <v>850</v>
      </c>
      <c r="G191" s="220" t="n">
        <v>0</v>
      </c>
      <c r="H191" s="220" t="n">
        <v>0</v>
      </c>
      <c r="I191" s="220" t="n">
        <v>0</v>
      </c>
    </row>
    <row r="192" ht="28" customHeight="1" s="132">
      <c r="A192" s="220" t="inlineStr">
        <is>
          <t>A181</t>
        </is>
      </c>
      <c r="B192" s="220" t="inlineStr">
        <is>
          <t>LCC-2504114</t>
        </is>
      </c>
      <c r="C192" s="237" t="n">
        <v>45734</v>
      </c>
      <c r="D192" s="220" t="n">
        <v>1555.5</v>
      </c>
      <c r="E192" s="220" t="n">
        <v>233.32</v>
      </c>
      <c r="F192" s="220" t="n">
        <v>1322.18</v>
      </c>
      <c r="G192" s="220" t="n">
        <v>0</v>
      </c>
      <c r="H192" s="220" t="n">
        <v>0</v>
      </c>
      <c r="I192" s="220" t="n">
        <v>0</v>
      </c>
    </row>
    <row r="193" ht="28" customHeight="1" s="132">
      <c r="A193" s="220" t="inlineStr">
        <is>
          <t>A182</t>
        </is>
      </c>
      <c r="B193" s="220" t="inlineStr">
        <is>
          <t>LCC-2504117</t>
        </is>
      </c>
      <c r="C193" s="237" t="n">
        <v>45748</v>
      </c>
      <c r="D193" s="220" t="n">
        <v>210</v>
      </c>
      <c r="E193" s="220" t="n">
        <v>31.5</v>
      </c>
      <c r="F193" s="220" t="n">
        <v>178.5</v>
      </c>
      <c r="G193" s="220" t="n">
        <v>0</v>
      </c>
      <c r="H193" s="220" t="n">
        <v>0</v>
      </c>
      <c r="I193" s="220" t="n">
        <v>0</v>
      </c>
    </row>
    <row r="194" ht="28" customHeight="1" s="132">
      <c r="A194" s="220" t="inlineStr">
        <is>
          <t>A183</t>
        </is>
      </c>
      <c r="B194" s="220" t="inlineStr">
        <is>
          <t>LCC-2504116</t>
        </is>
      </c>
      <c r="C194" s="237" t="n">
        <v>45748</v>
      </c>
      <c r="D194" s="220" t="n">
        <v>210</v>
      </c>
      <c r="E194" s="220" t="n">
        <v>31.5</v>
      </c>
      <c r="F194" s="220" t="n">
        <v>178.5</v>
      </c>
      <c r="G194" s="220" t="n">
        <v>0</v>
      </c>
      <c r="H194" s="220" t="n">
        <v>0</v>
      </c>
      <c r="I194" s="220" t="n">
        <v>0</v>
      </c>
    </row>
    <row r="195" ht="28" customHeight="1" s="132">
      <c r="A195" s="220" t="inlineStr">
        <is>
          <t>A184</t>
        </is>
      </c>
      <c r="B195" s="220" t="inlineStr">
        <is>
          <t>LCC-2504118</t>
        </is>
      </c>
      <c r="C195" s="237" t="n">
        <v>45748</v>
      </c>
      <c r="D195" s="220" t="n">
        <v>12478</v>
      </c>
      <c r="E195" s="220" t="n">
        <v>1871.7</v>
      </c>
      <c r="F195" s="220" t="n">
        <v>10606.3</v>
      </c>
      <c r="G195" s="220" t="n">
        <v>0</v>
      </c>
      <c r="H195" s="220" t="n">
        <v>0</v>
      </c>
      <c r="I195" s="220" t="n">
        <v>0</v>
      </c>
    </row>
    <row r="196" ht="28" customHeight="1" s="132">
      <c r="A196" s="220" t="inlineStr">
        <is>
          <t>A185</t>
        </is>
      </c>
      <c r="B196" s="220" t="inlineStr">
        <is>
          <t>LCC-2504115</t>
        </is>
      </c>
      <c r="C196" s="237" t="n">
        <v>45748</v>
      </c>
      <c r="D196" s="220" t="n">
        <v>5000</v>
      </c>
      <c r="E196" s="220" t="n">
        <v>750</v>
      </c>
      <c r="F196" s="220" t="n">
        <v>4250</v>
      </c>
      <c r="G196" s="220" t="n">
        <v>0</v>
      </c>
      <c r="H196" s="220" t="n">
        <v>0</v>
      </c>
      <c r="I196" s="220" t="n">
        <v>0</v>
      </c>
    </row>
    <row r="197" ht="28" customHeight="1" s="132">
      <c r="A197" s="220" t="inlineStr">
        <is>
          <t>A186</t>
        </is>
      </c>
      <c r="B197" s="220" t="inlineStr">
        <is>
          <t>LCC-2504119</t>
        </is>
      </c>
      <c r="C197" s="237" t="n">
        <v>45750</v>
      </c>
      <c r="D197" s="220" t="n">
        <v>630</v>
      </c>
      <c r="E197" s="220" t="n">
        <v>94.5</v>
      </c>
      <c r="F197" s="220" t="n">
        <v>535.5</v>
      </c>
      <c r="G197" s="220" t="n">
        <v>0</v>
      </c>
      <c r="H197" s="220" t="n">
        <v>0</v>
      </c>
      <c r="I197" s="220" t="n">
        <v>0</v>
      </c>
    </row>
    <row r="198" ht="28" customHeight="1" s="132">
      <c r="A198" s="220" t="inlineStr">
        <is>
          <t>A187</t>
        </is>
      </c>
      <c r="B198" s="220" t="inlineStr">
        <is>
          <t>LCC-2504121</t>
        </is>
      </c>
      <c r="C198" s="237" t="n">
        <v>45750</v>
      </c>
      <c r="D198" s="220" t="n">
        <v>3100</v>
      </c>
      <c r="E198" s="220" t="n">
        <v>465</v>
      </c>
      <c r="F198" s="220" t="n">
        <v>2635</v>
      </c>
      <c r="G198" s="220" t="n">
        <v>0</v>
      </c>
      <c r="H198" s="220" t="n">
        <v>0</v>
      </c>
      <c r="I198" s="220" t="n">
        <v>0</v>
      </c>
    </row>
    <row r="199" ht="28" customHeight="1" s="132">
      <c r="A199" s="220" t="inlineStr">
        <is>
          <t>A188</t>
        </is>
      </c>
      <c r="B199" s="220" t="inlineStr">
        <is>
          <t>LCC-2504120</t>
        </is>
      </c>
      <c r="C199" s="237" t="n">
        <v>45750</v>
      </c>
      <c r="D199" s="220" t="n">
        <v>2287.46</v>
      </c>
      <c r="E199" s="220" t="n">
        <v>343.12</v>
      </c>
      <c r="F199" s="220" t="n">
        <v>1944.34</v>
      </c>
      <c r="G199" s="220" t="n">
        <v>0</v>
      </c>
      <c r="H199" s="220" t="n">
        <v>0</v>
      </c>
      <c r="I199" s="220" t="n">
        <v>0</v>
      </c>
    </row>
    <row r="200" ht="28" customHeight="1" s="132">
      <c r="A200" s="220" t="inlineStr">
        <is>
          <t>A189</t>
        </is>
      </c>
      <c r="B200" s="220" t="inlineStr">
        <is>
          <t>LCP-2504127</t>
        </is>
      </c>
      <c r="C200" s="237" t="n">
        <v>45751</v>
      </c>
      <c r="D200" s="220" t="n">
        <v>250</v>
      </c>
      <c r="E200" s="220" t="n">
        <v>37.5</v>
      </c>
      <c r="F200" s="220" t="n">
        <v>212.5</v>
      </c>
      <c r="G200" s="220" t="n">
        <v>0</v>
      </c>
      <c r="H200" s="220" t="n">
        <v>0</v>
      </c>
      <c r="I200" s="220" t="n">
        <v>0</v>
      </c>
    </row>
    <row r="201" ht="28" customHeight="1" s="132">
      <c r="A201" s="220" t="inlineStr">
        <is>
          <t>A190</t>
        </is>
      </c>
      <c r="B201" s="220" t="inlineStr">
        <is>
          <t>LCC-2504124</t>
        </is>
      </c>
      <c r="C201" s="237" t="n">
        <v>45751</v>
      </c>
      <c r="D201" s="220" t="n">
        <v>210</v>
      </c>
      <c r="E201" s="220" t="n">
        <v>31.5</v>
      </c>
      <c r="F201" s="220" t="n">
        <v>178.5</v>
      </c>
      <c r="G201" s="220" t="n">
        <v>0</v>
      </c>
      <c r="H201" s="220" t="n">
        <v>0</v>
      </c>
      <c r="I201" s="220" t="n">
        <v>0</v>
      </c>
    </row>
    <row r="202" ht="28" customHeight="1" s="132">
      <c r="A202" s="220" t="inlineStr">
        <is>
          <t>A191</t>
        </is>
      </c>
      <c r="B202" s="220" t="inlineStr">
        <is>
          <t>LCC-2504125</t>
        </is>
      </c>
      <c r="C202" s="237" t="n">
        <v>45751</v>
      </c>
      <c r="D202" s="220" t="n">
        <v>210</v>
      </c>
      <c r="E202" s="220" t="n">
        <v>31.5</v>
      </c>
      <c r="F202" s="220" t="n">
        <v>178.5</v>
      </c>
      <c r="G202" s="220" t="n">
        <v>0</v>
      </c>
      <c r="H202" s="220" t="n">
        <v>0</v>
      </c>
      <c r="I202" s="220" t="n">
        <v>0</v>
      </c>
    </row>
    <row r="203" ht="28" customHeight="1" s="132">
      <c r="A203" s="220" t="inlineStr">
        <is>
          <t>A192</t>
        </is>
      </c>
      <c r="B203" s="220" t="inlineStr">
        <is>
          <t>LCC-2504123</t>
        </is>
      </c>
      <c r="C203" s="237" t="n">
        <v>45751</v>
      </c>
      <c r="D203" s="220" t="n">
        <v>3910</v>
      </c>
      <c r="E203" s="220" t="n">
        <v>586.5</v>
      </c>
      <c r="F203" s="220" t="n">
        <v>3323.5</v>
      </c>
      <c r="G203" s="220" t="n">
        <v>0</v>
      </c>
      <c r="H203" s="220" t="n">
        <v>0</v>
      </c>
      <c r="I203" s="220" t="n">
        <v>0</v>
      </c>
    </row>
    <row r="204" ht="28" customHeight="1" s="132">
      <c r="A204" s="220" t="inlineStr">
        <is>
          <t>A193</t>
        </is>
      </c>
      <c r="B204" s="220" t="inlineStr">
        <is>
          <t>LCC-2504035</t>
        </is>
      </c>
      <c r="C204" s="237" t="n">
        <v>45755</v>
      </c>
      <c r="D204" s="220" t="n">
        <v>250</v>
      </c>
      <c r="E204" s="220" t="n">
        <v>37.5</v>
      </c>
      <c r="F204" s="220" t="n">
        <v>212.5</v>
      </c>
      <c r="G204" s="220" t="n">
        <v>0</v>
      </c>
      <c r="H204" s="220" t="n">
        <v>0</v>
      </c>
      <c r="I204" s="220" t="n">
        <v>0</v>
      </c>
    </row>
    <row r="205" ht="28" customHeight="1" s="132">
      <c r="A205" s="220" t="inlineStr">
        <is>
          <t>A194</t>
        </is>
      </c>
      <c r="B205" s="220" t="inlineStr">
        <is>
          <t>LCC-2504131</t>
        </is>
      </c>
      <c r="C205" s="237" t="n">
        <v>45757</v>
      </c>
      <c r="D205" s="220" t="n">
        <v>210</v>
      </c>
      <c r="E205" s="220" t="n">
        <v>31.5</v>
      </c>
      <c r="F205" s="220" t="n">
        <v>178.5</v>
      </c>
      <c r="G205" s="220" t="n">
        <v>0</v>
      </c>
      <c r="H205" s="220" t="n">
        <v>0</v>
      </c>
      <c r="I205" s="220" t="n">
        <v>0</v>
      </c>
    </row>
    <row r="206" ht="28" customHeight="1" s="132">
      <c r="A206" s="220" t="inlineStr">
        <is>
          <t>A195</t>
        </is>
      </c>
      <c r="B206" s="220" t="inlineStr">
        <is>
          <t>LCC-2504130</t>
        </is>
      </c>
      <c r="C206" s="237" t="n">
        <v>45757</v>
      </c>
      <c r="D206" s="220" t="n">
        <v>210</v>
      </c>
      <c r="E206" s="220" t="n">
        <v>31.5</v>
      </c>
      <c r="F206" s="220" t="n">
        <v>178.5</v>
      </c>
      <c r="G206" s="220" t="n">
        <v>0</v>
      </c>
      <c r="H206" s="220" t="n">
        <v>0</v>
      </c>
      <c r="I206" s="220" t="n">
        <v>0</v>
      </c>
    </row>
    <row r="207" ht="28" customHeight="1" s="132">
      <c r="A207" s="220" t="inlineStr">
        <is>
          <t>A196</t>
        </is>
      </c>
      <c r="B207" s="220" t="inlineStr">
        <is>
          <t>LCC-2504132</t>
        </is>
      </c>
      <c r="C207" s="237" t="n">
        <v>45758</v>
      </c>
      <c r="D207" s="220" t="n">
        <v>400</v>
      </c>
      <c r="E207" s="220" t="n">
        <v>60</v>
      </c>
      <c r="F207" s="220" t="n">
        <v>340</v>
      </c>
      <c r="G207" s="220" t="n">
        <v>0</v>
      </c>
      <c r="H207" s="220" t="n">
        <v>0</v>
      </c>
      <c r="I207" s="220" t="n">
        <v>0</v>
      </c>
    </row>
    <row r="208" ht="28" customHeight="1" s="132">
      <c r="A208" s="220" t="inlineStr">
        <is>
          <t>A197</t>
        </is>
      </c>
      <c r="B208" s="220" t="inlineStr">
        <is>
          <t>LCC-2504134</t>
        </is>
      </c>
      <c r="C208" s="237" t="n">
        <v>45761</v>
      </c>
      <c r="D208" s="220" t="n">
        <v>210</v>
      </c>
      <c r="E208" s="220" t="n">
        <v>31.5</v>
      </c>
      <c r="F208" s="220" t="n">
        <v>178.5</v>
      </c>
      <c r="G208" s="220" t="n">
        <v>0</v>
      </c>
      <c r="H208" s="220" t="n">
        <v>0</v>
      </c>
      <c r="I208" s="220" t="n">
        <v>0</v>
      </c>
    </row>
    <row r="209" ht="28" customHeight="1" s="132">
      <c r="A209" s="220" t="inlineStr">
        <is>
          <t>A198</t>
        </is>
      </c>
      <c r="B209" s="220" t="inlineStr">
        <is>
          <t>LCC-2504135</t>
        </is>
      </c>
      <c r="C209" s="237" t="n">
        <v>45762</v>
      </c>
      <c r="D209" s="220" t="n">
        <v>210</v>
      </c>
      <c r="E209" s="220" t="n">
        <v>31.5</v>
      </c>
      <c r="F209" s="220" t="n">
        <v>178.5</v>
      </c>
      <c r="G209" s="220" t="n">
        <v>0</v>
      </c>
      <c r="H209" s="220" t="n">
        <v>0</v>
      </c>
      <c r="I209" s="220" t="n">
        <v>0</v>
      </c>
    </row>
    <row r="210" ht="28" customHeight="1" s="132">
      <c r="A210" s="220" t="inlineStr">
        <is>
          <t>A199</t>
        </is>
      </c>
      <c r="B210" s="220" t="inlineStr">
        <is>
          <t>LCC-2504136</t>
        </is>
      </c>
      <c r="C210" s="237" t="n">
        <v>45763</v>
      </c>
      <c r="D210" s="220" t="n">
        <v>210</v>
      </c>
      <c r="E210" s="220" t="n">
        <v>31.5</v>
      </c>
      <c r="F210" s="220" t="n">
        <v>178.5</v>
      </c>
      <c r="G210" s="220" t="n">
        <v>0</v>
      </c>
      <c r="H210" s="220" t="n">
        <v>0</v>
      </c>
      <c r="I210" s="220" t="n">
        <v>0</v>
      </c>
    </row>
    <row r="211" ht="28" customHeight="1" s="132">
      <c r="A211" s="220" t="inlineStr">
        <is>
          <t>A200</t>
        </is>
      </c>
      <c r="B211" s="220" t="inlineStr">
        <is>
          <t>LCP-2504140</t>
        </is>
      </c>
      <c r="C211" s="237" t="n">
        <v>45769</v>
      </c>
      <c r="D211" s="220" t="n">
        <v>250</v>
      </c>
      <c r="E211" s="220" t="n">
        <v>37.5</v>
      </c>
      <c r="F211" s="220" t="n">
        <v>212.5</v>
      </c>
      <c r="G211" s="220" t="n">
        <v>0</v>
      </c>
      <c r="H211" s="220" t="n">
        <v>0</v>
      </c>
      <c r="I211" s="220" t="n">
        <v>0</v>
      </c>
    </row>
    <row r="212" ht="28" customHeight="1" s="132">
      <c r="A212" s="220" t="inlineStr">
        <is>
          <t>A201</t>
        </is>
      </c>
      <c r="B212" s="220" t="inlineStr">
        <is>
          <t>LCC-2504139</t>
        </is>
      </c>
      <c r="C212" s="237" t="n">
        <v>45769</v>
      </c>
      <c r="D212" s="220" t="n">
        <v>1938</v>
      </c>
      <c r="E212" s="220" t="n">
        <v>290.7</v>
      </c>
      <c r="F212" s="220" t="n">
        <v>1647.3</v>
      </c>
      <c r="G212" s="220" t="n">
        <v>0</v>
      </c>
      <c r="H212" s="220" t="n">
        <v>0</v>
      </c>
      <c r="I212" s="220" t="n">
        <v>0</v>
      </c>
    </row>
    <row r="213" ht="28" customHeight="1" s="132">
      <c r="A213" s="220" t="inlineStr">
        <is>
          <t>A202</t>
        </is>
      </c>
      <c r="B213" s="220" t="inlineStr">
        <is>
          <t>LCC-2504138</t>
        </is>
      </c>
      <c r="C213" s="237" t="n">
        <v>45769</v>
      </c>
      <c r="D213" s="220" t="n">
        <v>210</v>
      </c>
      <c r="E213" s="220" t="n">
        <v>31.5</v>
      </c>
      <c r="F213" s="220" t="n">
        <v>178.5</v>
      </c>
      <c r="G213" s="220" t="n">
        <v>0</v>
      </c>
      <c r="H213" s="220" t="n">
        <v>0</v>
      </c>
      <c r="I213" s="220" t="n">
        <v>0</v>
      </c>
    </row>
    <row r="214" ht="28" customHeight="1" s="132">
      <c r="A214" s="220" t="inlineStr">
        <is>
          <t>A203</t>
        </is>
      </c>
      <c r="B214" s="220" t="inlineStr">
        <is>
          <t>LCC-2504142</t>
        </is>
      </c>
      <c r="C214" s="237" t="n">
        <v>45770</v>
      </c>
      <c r="D214" s="220" t="n">
        <v>246</v>
      </c>
      <c r="E214" s="220" t="n">
        <v>36.9</v>
      </c>
      <c r="F214" s="220" t="n">
        <v>209.1</v>
      </c>
      <c r="G214" s="220" t="n">
        <v>0</v>
      </c>
      <c r="H214" s="220" t="n">
        <v>0</v>
      </c>
      <c r="I214" s="220" t="n">
        <v>0</v>
      </c>
    </row>
    <row r="215" ht="28" customHeight="1" s="132">
      <c r="A215" s="220" t="inlineStr">
        <is>
          <t>A204</t>
        </is>
      </c>
      <c r="B215" s="220" t="inlineStr">
        <is>
          <t>LCC-2504141</t>
        </is>
      </c>
      <c r="C215" s="237" t="n">
        <v>45770</v>
      </c>
      <c r="D215" s="220" t="n">
        <v>210</v>
      </c>
      <c r="E215" s="220" t="n">
        <v>31.5</v>
      </c>
      <c r="F215" s="220" t="n">
        <v>178.5</v>
      </c>
      <c r="G215" s="220" t="n">
        <v>0</v>
      </c>
      <c r="H215" s="220" t="n">
        <v>0</v>
      </c>
      <c r="I215" s="220" t="n">
        <v>0</v>
      </c>
    </row>
    <row r="216" ht="28" customHeight="1" s="132">
      <c r="A216" s="220" t="inlineStr">
        <is>
          <t>A205</t>
        </is>
      </c>
      <c r="B216" s="220" t="inlineStr">
        <is>
          <t>LCC-2504144</t>
        </is>
      </c>
      <c r="C216" s="237" t="n">
        <v>45772</v>
      </c>
      <c r="D216" s="220" t="n">
        <v>250</v>
      </c>
      <c r="E216" s="220" t="n">
        <v>37.5</v>
      </c>
      <c r="F216" s="220" t="n">
        <v>212.5</v>
      </c>
      <c r="G216" s="220" t="n">
        <v>0</v>
      </c>
      <c r="H216" s="220" t="n">
        <v>0</v>
      </c>
      <c r="I216" s="220" t="n">
        <v>0</v>
      </c>
    </row>
    <row r="217" ht="28" customHeight="1" s="132">
      <c r="A217" s="220" t="inlineStr">
        <is>
          <t>A206</t>
        </is>
      </c>
      <c r="B217" s="220" t="inlineStr">
        <is>
          <t>LCC-2504145</t>
        </is>
      </c>
      <c r="C217" s="237" t="n">
        <v>45772</v>
      </c>
      <c r="D217" s="220" t="n">
        <v>400</v>
      </c>
      <c r="E217" s="220" t="n">
        <v>60</v>
      </c>
      <c r="F217" s="220" t="n">
        <v>340</v>
      </c>
      <c r="G217" s="220" t="n">
        <v>0</v>
      </c>
      <c r="H217" s="220" t="n">
        <v>0</v>
      </c>
      <c r="I217" s="220" t="n">
        <v>0</v>
      </c>
    </row>
    <row r="218" ht="28" customHeight="1" s="132">
      <c r="A218" s="220" t="inlineStr">
        <is>
          <t>A207</t>
        </is>
      </c>
      <c r="B218" s="220" t="inlineStr">
        <is>
          <t>LCC-2504148</t>
        </is>
      </c>
      <c r="C218" s="237" t="n">
        <v>45776</v>
      </c>
      <c r="D218" s="220" t="n">
        <v>250</v>
      </c>
      <c r="E218" s="220" t="n">
        <v>37.5</v>
      </c>
      <c r="F218" s="220" t="n">
        <v>212.5</v>
      </c>
      <c r="G218" s="220" t="n">
        <v>0</v>
      </c>
      <c r="H218" s="220" t="n">
        <v>0</v>
      </c>
      <c r="I218" s="220" t="n">
        <v>0</v>
      </c>
    </row>
    <row r="219" ht="28" customHeight="1" s="132">
      <c r="A219" s="220" t="inlineStr">
        <is>
          <t>A208</t>
        </is>
      </c>
      <c r="B219" s="220" t="inlineStr">
        <is>
          <t>LCC-2504149</t>
        </is>
      </c>
      <c r="C219" s="237" t="n">
        <v>45776</v>
      </c>
      <c r="D219" s="220" t="n">
        <v>210</v>
      </c>
      <c r="E219" s="220" t="n">
        <v>31.5</v>
      </c>
      <c r="F219" s="220" t="n">
        <v>178.5</v>
      </c>
      <c r="G219" s="220" t="n">
        <v>0</v>
      </c>
      <c r="H219" s="220" t="n">
        <v>0</v>
      </c>
      <c r="I219" s="220" t="n">
        <v>0</v>
      </c>
    </row>
    <row r="220" ht="28" customHeight="1" s="132">
      <c r="A220" s="220" t="inlineStr">
        <is>
          <t>A209</t>
        </is>
      </c>
      <c r="B220" s="220" t="inlineStr">
        <is>
          <t>LCC-2504151</t>
        </is>
      </c>
      <c r="C220" s="237" t="n">
        <v>45777</v>
      </c>
      <c r="D220" s="220" t="n">
        <v>246</v>
      </c>
      <c r="E220" s="220" t="n">
        <v>36.9</v>
      </c>
      <c r="F220" s="220" t="n">
        <v>209.1</v>
      </c>
      <c r="G220" s="220" t="n">
        <v>0</v>
      </c>
      <c r="H220" s="220" t="n">
        <v>0</v>
      </c>
      <c r="I220" s="220" t="n">
        <v>0</v>
      </c>
    </row>
    <row r="221" ht="28" customHeight="1" s="132">
      <c r="A221" s="220" t="inlineStr">
        <is>
          <t>A210</t>
        </is>
      </c>
      <c r="B221" s="220" t="inlineStr">
        <is>
          <t>LCC-2504153</t>
        </is>
      </c>
      <c r="C221" s="237" t="n">
        <v>45778</v>
      </c>
      <c r="D221" s="220" t="n">
        <v>500</v>
      </c>
      <c r="E221" s="220" t="n">
        <v>75</v>
      </c>
      <c r="F221" s="220" t="n">
        <v>425</v>
      </c>
      <c r="G221" s="220" t="n">
        <v>0</v>
      </c>
      <c r="H221" s="220" t="n">
        <v>0</v>
      </c>
      <c r="I221" s="220" t="n">
        <v>0</v>
      </c>
    </row>
    <row r="222" ht="28" customHeight="1" s="132">
      <c r="A222" s="220" t="inlineStr">
        <is>
          <t>A211</t>
        </is>
      </c>
      <c r="B222" s="220" t="inlineStr">
        <is>
          <t>LCC-2504157</t>
        </is>
      </c>
      <c r="C222" s="237" t="n">
        <v>45779</v>
      </c>
      <c r="D222" s="220" t="n">
        <v>210</v>
      </c>
      <c r="E222" s="220" t="n">
        <v>31.5</v>
      </c>
      <c r="F222" s="220" t="n">
        <v>178.5</v>
      </c>
      <c r="G222" s="220" t="n">
        <v>0</v>
      </c>
      <c r="H222" s="220" t="n">
        <v>0</v>
      </c>
      <c r="I222" s="220" t="n">
        <v>0</v>
      </c>
    </row>
    <row r="223" ht="28" customHeight="1" s="132">
      <c r="A223" s="220" t="inlineStr">
        <is>
          <t>A212</t>
        </is>
      </c>
      <c r="B223" s="220" t="inlineStr">
        <is>
          <t>LCC-2504156</t>
        </is>
      </c>
      <c r="C223" s="237" t="n">
        <v>45779</v>
      </c>
      <c r="D223" s="220" t="n">
        <v>700</v>
      </c>
      <c r="E223" s="220" t="n">
        <v>105</v>
      </c>
      <c r="F223" s="220" t="n">
        <v>595</v>
      </c>
      <c r="G223" s="220" t="n">
        <v>0</v>
      </c>
      <c r="H223" s="220" t="n">
        <v>0</v>
      </c>
      <c r="I223" s="220" t="n">
        <v>0</v>
      </c>
    </row>
    <row r="224" ht="28" customHeight="1" s="132">
      <c r="A224" s="220" t="inlineStr">
        <is>
          <t>A213</t>
        </is>
      </c>
      <c r="B224" s="220" t="inlineStr">
        <is>
          <t>LCC-2504159</t>
        </is>
      </c>
      <c r="C224" s="237" t="n">
        <v>45782</v>
      </c>
      <c r="D224" s="220" t="n">
        <v>210</v>
      </c>
      <c r="E224" s="220" t="n">
        <v>31.5</v>
      </c>
      <c r="F224" s="220" t="n">
        <v>178.5</v>
      </c>
      <c r="G224" s="220" t="n">
        <v>0</v>
      </c>
      <c r="H224" s="220" t="n">
        <v>0</v>
      </c>
      <c r="I224" s="220" t="n">
        <v>0</v>
      </c>
    </row>
    <row r="225" ht="28" customHeight="1" s="132">
      <c r="A225" s="220" t="inlineStr">
        <is>
          <t>A214</t>
        </is>
      </c>
      <c r="B225" s="220" t="inlineStr">
        <is>
          <t>LCC-2504158</t>
        </is>
      </c>
      <c r="C225" s="237" t="n">
        <v>45782</v>
      </c>
      <c r="D225" s="220" t="n">
        <v>210</v>
      </c>
      <c r="E225" s="220" t="n">
        <v>31.5</v>
      </c>
      <c r="F225" s="220" t="n">
        <v>178.5</v>
      </c>
      <c r="G225" s="220" t="n">
        <v>0</v>
      </c>
      <c r="H225" s="220" t="n">
        <v>0</v>
      </c>
      <c r="I225" s="220" t="n">
        <v>0</v>
      </c>
    </row>
    <row r="226" ht="28" customHeight="1" s="132">
      <c r="A226" s="220" t="inlineStr">
        <is>
          <t>A215</t>
        </is>
      </c>
      <c r="B226" s="220" t="inlineStr">
        <is>
          <t>LCP-2504161</t>
        </is>
      </c>
      <c r="C226" s="237" t="n">
        <v>45783</v>
      </c>
      <c r="D226" s="220" t="n">
        <v>250</v>
      </c>
      <c r="E226" s="220" t="n">
        <v>37.5</v>
      </c>
      <c r="F226" s="220" t="n">
        <v>212.5</v>
      </c>
      <c r="G226" s="220" t="n">
        <v>0</v>
      </c>
      <c r="H226" s="220" t="n">
        <v>0</v>
      </c>
      <c r="I226" s="220" t="n">
        <v>0</v>
      </c>
    </row>
    <row r="227" ht="28" customHeight="1" s="132">
      <c r="A227" s="220" t="inlineStr">
        <is>
          <t>A216</t>
        </is>
      </c>
      <c r="B227" s="220" t="inlineStr">
        <is>
          <t>LCC-2504162</t>
        </is>
      </c>
      <c r="C227" s="237" t="n">
        <v>45783</v>
      </c>
      <c r="D227" s="220" t="n">
        <v>210</v>
      </c>
      <c r="E227" s="220" t="n">
        <v>31.5</v>
      </c>
      <c r="F227" s="220" t="n">
        <v>178.5</v>
      </c>
      <c r="G227" s="220" t="n">
        <v>0</v>
      </c>
      <c r="H227" s="220" t="n">
        <v>0</v>
      </c>
      <c r="I227" s="220" t="n">
        <v>0</v>
      </c>
    </row>
    <row r="228" ht="28" customHeight="1" s="132">
      <c r="A228" s="220" t="inlineStr">
        <is>
          <t>A217</t>
        </is>
      </c>
      <c r="B228" s="220" t="inlineStr">
        <is>
          <t>LCC-2504163</t>
        </is>
      </c>
      <c r="C228" s="237" t="n">
        <v>45784</v>
      </c>
      <c r="D228" s="220" t="n">
        <v>210</v>
      </c>
      <c r="E228" s="220" t="n">
        <v>31.5</v>
      </c>
      <c r="F228" s="220" t="n">
        <v>178.5</v>
      </c>
      <c r="G228" s="220" t="n">
        <v>0</v>
      </c>
      <c r="H228" s="220" t="n">
        <v>0</v>
      </c>
      <c r="I228" s="220" t="n">
        <v>0</v>
      </c>
    </row>
    <row r="229" ht="28" customHeight="1" s="132">
      <c r="A229" s="220" t="inlineStr">
        <is>
          <t>A218</t>
        </is>
      </c>
      <c r="B229" s="220" t="inlineStr">
        <is>
          <t>LCC-2504165</t>
        </is>
      </c>
      <c r="C229" s="237" t="n">
        <v>45784</v>
      </c>
      <c r="D229" s="220" t="n">
        <v>1480</v>
      </c>
      <c r="E229" s="220" t="n">
        <v>222</v>
      </c>
      <c r="F229" s="220" t="n">
        <v>1258</v>
      </c>
      <c r="G229" s="220" t="n">
        <v>0</v>
      </c>
      <c r="H229" s="220" t="n">
        <v>0</v>
      </c>
      <c r="I229" s="220" t="n">
        <v>0</v>
      </c>
    </row>
    <row r="230" ht="28" customHeight="1" s="132">
      <c r="A230" s="220" t="inlineStr">
        <is>
          <t>A219</t>
        </is>
      </c>
      <c r="B230" s="220" t="inlineStr">
        <is>
          <t>LCC-2504167</t>
        </is>
      </c>
      <c r="C230" s="237" t="n">
        <v>45785</v>
      </c>
      <c r="D230" s="220" t="n">
        <v>10000</v>
      </c>
      <c r="E230" s="220" t="n">
        <v>1500</v>
      </c>
      <c r="F230" s="220" t="n">
        <v>8500</v>
      </c>
      <c r="G230" s="220" t="n">
        <v>0</v>
      </c>
      <c r="H230" s="220" t="n">
        <v>0</v>
      </c>
      <c r="I230" s="220" t="n">
        <v>0</v>
      </c>
    </row>
    <row r="231" ht="28" customHeight="1" s="132">
      <c r="A231" s="220" t="inlineStr">
        <is>
          <t>A220</t>
        </is>
      </c>
      <c r="B231" s="220" t="inlineStr">
        <is>
          <t>LCC-2504169</t>
        </is>
      </c>
      <c r="C231" s="237" t="n">
        <v>45789</v>
      </c>
      <c r="D231" s="220" t="n">
        <v>210</v>
      </c>
      <c r="E231" s="220" t="n">
        <v>31.5</v>
      </c>
      <c r="F231" s="220" t="n">
        <v>178.5</v>
      </c>
      <c r="G231" s="220" t="n">
        <v>0</v>
      </c>
      <c r="H231" s="220" t="n">
        <v>0</v>
      </c>
      <c r="I231" s="220" t="n">
        <v>0</v>
      </c>
    </row>
    <row r="232" ht="28" customHeight="1" s="132">
      <c r="A232" s="220" t="inlineStr">
        <is>
          <t>A221</t>
        </is>
      </c>
      <c r="B232" s="220" t="inlineStr">
        <is>
          <t>LCC-2504168</t>
        </is>
      </c>
      <c r="C232" s="237" t="n">
        <v>45789</v>
      </c>
      <c r="D232" s="220" t="n">
        <v>210</v>
      </c>
      <c r="E232" s="220" t="n">
        <v>31.5</v>
      </c>
      <c r="F232" s="220" t="n">
        <v>178.5</v>
      </c>
      <c r="G232" s="220" t="n">
        <v>0</v>
      </c>
      <c r="H232" s="220" t="n">
        <v>0</v>
      </c>
      <c r="I232" s="220" t="n">
        <v>0</v>
      </c>
    </row>
    <row r="233" ht="28" customHeight="1" s="132">
      <c r="A233" s="220" t="inlineStr">
        <is>
          <t>A222</t>
        </is>
      </c>
      <c r="B233" s="220" t="inlineStr">
        <is>
          <t>LCC-2504174</t>
        </is>
      </c>
      <c r="C233" s="237" t="n">
        <v>45792</v>
      </c>
      <c r="D233" s="220" t="n">
        <v>210</v>
      </c>
      <c r="E233" s="220" t="n">
        <v>31.5</v>
      </c>
      <c r="F233" s="220" t="n">
        <v>178.5</v>
      </c>
      <c r="G233" s="220" t="n">
        <v>0</v>
      </c>
      <c r="H233" s="220" t="n">
        <v>0</v>
      </c>
      <c r="I233" s="220" t="n">
        <v>0</v>
      </c>
    </row>
    <row r="234" ht="28" customHeight="1" s="132">
      <c r="A234" s="220" t="inlineStr">
        <is>
          <t>A223</t>
        </is>
      </c>
      <c r="B234" s="220" t="inlineStr">
        <is>
          <t>LCC-2504173</t>
        </is>
      </c>
      <c r="C234" s="237" t="n">
        <v>45792</v>
      </c>
      <c r="D234" s="220" t="n">
        <v>210</v>
      </c>
      <c r="E234" s="220" t="n">
        <v>31.5</v>
      </c>
      <c r="F234" s="220" t="n">
        <v>178.5</v>
      </c>
      <c r="G234" s="220" t="n">
        <v>0</v>
      </c>
      <c r="H234" s="220" t="n">
        <v>0</v>
      </c>
      <c r="I234" s="220" t="n">
        <v>0</v>
      </c>
    </row>
    <row r="235" ht="28" customHeight="1" s="132">
      <c r="A235" s="220" t="inlineStr">
        <is>
          <t>A224</t>
        </is>
      </c>
      <c r="B235" s="220" t="inlineStr">
        <is>
          <t>LCC-2504170</t>
        </is>
      </c>
      <c r="C235" s="237" t="n">
        <v>45792</v>
      </c>
      <c r="D235" s="220" t="n">
        <v>255</v>
      </c>
      <c r="E235" s="220" t="n">
        <v>38.25</v>
      </c>
      <c r="F235" s="220" t="n">
        <v>216.75</v>
      </c>
      <c r="G235" s="220" t="n">
        <v>0</v>
      </c>
      <c r="H235" s="220" t="n">
        <v>0</v>
      </c>
      <c r="I235" s="220" t="n">
        <v>0</v>
      </c>
    </row>
    <row r="236" ht="28" customHeight="1" s="132">
      <c r="A236" s="220" t="inlineStr">
        <is>
          <t>A225</t>
        </is>
      </c>
      <c r="B236" s="220" t="inlineStr">
        <is>
          <t>LCP-2504175</t>
        </is>
      </c>
      <c r="C236" s="237" t="n">
        <v>45793</v>
      </c>
      <c r="D236" s="220" t="n">
        <v>210</v>
      </c>
      <c r="E236" s="220" t="n">
        <v>31.5</v>
      </c>
      <c r="F236" s="220" t="n">
        <v>178.5</v>
      </c>
      <c r="G236" s="220" t="n">
        <v>0</v>
      </c>
      <c r="H236" s="220" t="n">
        <v>0</v>
      </c>
      <c r="I236" s="220" t="n">
        <v>0</v>
      </c>
    </row>
    <row r="237" ht="28" customHeight="1" s="132">
      <c r="A237" s="220" t="inlineStr">
        <is>
          <t>A226</t>
        </is>
      </c>
      <c r="B237" s="220" t="inlineStr">
        <is>
          <t>LCC-2504176</t>
        </is>
      </c>
      <c r="C237" s="237" t="n">
        <v>45796</v>
      </c>
      <c r="D237" s="220" t="n">
        <v>210</v>
      </c>
      <c r="E237" s="220" t="n">
        <v>31.5</v>
      </c>
      <c r="F237" s="220" t="n">
        <v>178.5</v>
      </c>
      <c r="G237" s="220" t="n">
        <v>0</v>
      </c>
      <c r="H237" s="220" t="n">
        <v>0</v>
      </c>
      <c r="I237" s="220" t="n">
        <v>0</v>
      </c>
    </row>
    <row r="238" ht="28" customHeight="1" s="132">
      <c r="A238" s="220" t="inlineStr">
        <is>
          <t>A227</t>
        </is>
      </c>
      <c r="B238" s="220" t="inlineStr">
        <is>
          <t>LCC-2504177</t>
        </is>
      </c>
      <c r="C238" s="237" t="n">
        <v>45797</v>
      </c>
      <c r="D238" s="220" t="n">
        <v>210</v>
      </c>
      <c r="E238" s="220" t="n">
        <v>31.5</v>
      </c>
      <c r="F238" s="220" t="n">
        <v>178.5</v>
      </c>
      <c r="G238" s="220" t="n">
        <v>0</v>
      </c>
      <c r="H238" s="220" t="n">
        <v>0</v>
      </c>
      <c r="I238" s="220" t="n">
        <v>0</v>
      </c>
    </row>
    <row r="239" ht="28" customHeight="1" s="132">
      <c r="A239" s="220" t="inlineStr">
        <is>
          <t>A228</t>
        </is>
      </c>
      <c r="B239" s="220" t="inlineStr">
        <is>
          <t>LCC-2504184</t>
        </is>
      </c>
      <c r="C239" s="237" t="n">
        <v>45798</v>
      </c>
      <c r="D239" s="220" t="n">
        <v>210</v>
      </c>
      <c r="E239" s="220" t="n">
        <v>31.5</v>
      </c>
      <c r="F239" s="220" t="n">
        <v>178.5</v>
      </c>
      <c r="G239" s="220" t="n">
        <v>0</v>
      </c>
      <c r="H239" s="220" t="n">
        <v>0</v>
      </c>
      <c r="I239" s="220" t="n">
        <v>0</v>
      </c>
    </row>
    <row r="240" ht="28" customHeight="1" s="132">
      <c r="A240" s="220" t="inlineStr">
        <is>
          <t>A229</t>
        </is>
      </c>
      <c r="B240" s="220" t="inlineStr">
        <is>
          <t>LCC-2504180</t>
        </is>
      </c>
      <c r="C240" s="237" t="n">
        <v>45798</v>
      </c>
      <c r="D240" s="220" t="n">
        <v>5485</v>
      </c>
      <c r="E240" s="220" t="n">
        <v>822.75</v>
      </c>
      <c r="F240" s="220" t="n">
        <v>4662.25</v>
      </c>
      <c r="G240" s="220" t="n">
        <v>0</v>
      </c>
      <c r="H240" s="220" t="n">
        <v>0</v>
      </c>
      <c r="I240" s="220" t="n">
        <v>0</v>
      </c>
    </row>
    <row r="241" ht="28" customHeight="1" s="132">
      <c r="A241" s="220" t="inlineStr">
        <is>
          <t>A230</t>
        </is>
      </c>
      <c r="B241" s="220" t="inlineStr">
        <is>
          <t>LCC-2504185</t>
        </is>
      </c>
      <c r="C241" s="237" t="n">
        <v>45798</v>
      </c>
      <c r="D241" s="220" t="n">
        <v>400</v>
      </c>
      <c r="E241" s="220" t="n">
        <v>60</v>
      </c>
      <c r="F241" s="220" t="n">
        <v>340</v>
      </c>
      <c r="G241" s="220" t="n">
        <v>0</v>
      </c>
      <c r="H241" s="220" t="n">
        <v>0</v>
      </c>
      <c r="I241" s="220" t="n">
        <v>0</v>
      </c>
    </row>
    <row r="242" ht="28" customHeight="1" s="132">
      <c r="A242" s="220" t="inlineStr">
        <is>
          <t>A231</t>
        </is>
      </c>
      <c r="B242" s="220" t="inlineStr">
        <is>
          <t>LCC-2504182</t>
        </is>
      </c>
      <c r="C242" s="237" t="n">
        <v>45798</v>
      </c>
      <c r="D242" s="220" t="n">
        <v>210</v>
      </c>
      <c r="E242" s="220" t="n">
        <v>31.5</v>
      </c>
      <c r="F242" s="220" t="n">
        <v>178.5</v>
      </c>
      <c r="G242" s="220" t="n">
        <v>0</v>
      </c>
      <c r="H242" s="220" t="n">
        <v>0</v>
      </c>
      <c r="I242" s="220" t="n">
        <v>0</v>
      </c>
    </row>
    <row r="243" ht="28" customHeight="1" s="132">
      <c r="A243" s="220" t="inlineStr">
        <is>
          <t>A232</t>
        </is>
      </c>
      <c r="B243" s="220" t="inlineStr">
        <is>
          <t>LCC-2504183</t>
        </is>
      </c>
      <c r="C243" s="237" t="n">
        <v>45798</v>
      </c>
      <c r="D243" s="220" t="n">
        <v>1450</v>
      </c>
      <c r="E243" s="220" t="n">
        <v>217.5</v>
      </c>
      <c r="F243" s="220" t="n">
        <v>1232.5</v>
      </c>
      <c r="G243" s="220" t="n">
        <v>0</v>
      </c>
      <c r="H243" s="220" t="n">
        <v>0</v>
      </c>
      <c r="I243" s="220" t="n">
        <v>0</v>
      </c>
    </row>
    <row r="244" ht="28" customHeight="1" s="132">
      <c r="A244" s="220" t="inlineStr">
        <is>
          <t>A233</t>
        </is>
      </c>
      <c r="B244" s="220" t="inlineStr">
        <is>
          <t>LCP-2504191</t>
        </is>
      </c>
      <c r="C244" s="237" t="n">
        <v>45799</v>
      </c>
      <c r="D244" s="220" t="n">
        <v>250</v>
      </c>
      <c r="E244" s="220" t="n">
        <v>37.5</v>
      </c>
      <c r="F244" s="220" t="n">
        <v>212.5</v>
      </c>
      <c r="G244" s="220" t="n">
        <v>0</v>
      </c>
      <c r="H244" s="220" t="n">
        <v>0</v>
      </c>
      <c r="I244" s="220" t="n">
        <v>0</v>
      </c>
    </row>
    <row r="245" ht="28" customHeight="1" s="132">
      <c r="A245" s="220" t="inlineStr">
        <is>
          <t>A234</t>
        </is>
      </c>
      <c r="B245" s="220" t="inlineStr">
        <is>
          <t>LCC-2504186</t>
        </is>
      </c>
      <c r="C245" s="237" t="n">
        <v>45799</v>
      </c>
      <c r="D245" s="220" t="n">
        <v>210</v>
      </c>
      <c r="E245" s="220" t="n">
        <v>31.5</v>
      </c>
      <c r="F245" s="220" t="n">
        <v>178.5</v>
      </c>
      <c r="G245" s="220" t="n">
        <v>0</v>
      </c>
      <c r="H245" s="220" t="n">
        <v>0</v>
      </c>
      <c r="I245" s="220" t="n">
        <v>0</v>
      </c>
    </row>
    <row r="246" ht="28" customHeight="1" s="132">
      <c r="A246" s="220" t="inlineStr">
        <is>
          <t>A235</t>
        </is>
      </c>
      <c r="B246" s="220" t="inlineStr">
        <is>
          <t>LCP-2504190</t>
        </is>
      </c>
      <c r="C246" s="237" t="n">
        <v>45799</v>
      </c>
      <c r="D246" s="220" t="n">
        <v>250</v>
      </c>
      <c r="E246" s="220" t="n">
        <v>37.5</v>
      </c>
      <c r="F246" s="220" t="n">
        <v>212.5</v>
      </c>
      <c r="G246" s="220" t="n">
        <v>0</v>
      </c>
      <c r="H246" s="220" t="n">
        <v>0</v>
      </c>
      <c r="I246" s="220" t="n">
        <v>0</v>
      </c>
    </row>
    <row r="247" ht="28" customHeight="1" s="132">
      <c r="A247" s="220" t="inlineStr">
        <is>
          <t>A236</t>
        </is>
      </c>
      <c r="B247" s="220" t="inlineStr">
        <is>
          <t>LCC-2504192</t>
        </is>
      </c>
      <c r="C247" s="237" t="n">
        <v>45800</v>
      </c>
      <c r="D247" s="220" t="n">
        <v>210</v>
      </c>
      <c r="E247" s="220" t="n">
        <v>31.5</v>
      </c>
      <c r="F247" s="220" t="n">
        <v>178.5</v>
      </c>
      <c r="G247" s="220" t="n">
        <v>0</v>
      </c>
      <c r="H247" s="220" t="n">
        <v>0</v>
      </c>
      <c r="I247" s="220" t="n">
        <v>0</v>
      </c>
    </row>
    <row r="248" ht="28" customHeight="1" s="132">
      <c r="A248" s="220" t="inlineStr">
        <is>
          <t>A237</t>
        </is>
      </c>
      <c r="B248" s="220" t="inlineStr">
        <is>
          <t>LCC-2504200</t>
        </is>
      </c>
      <c r="C248" s="237" t="n">
        <v>45804</v>
      </c>
      <c r="D248" s="220" t="n">
        <v>210</v>
      </c>
      <c r="E248" s="220" t="n">
        <v>31.5</v>
      </c>
      <c r="F248" s="220" t="n">
        <v>178.5</v>
      </c>
      <c r="G248" s="220" t="n">
        <v>0</v>
      </c>
      <c r="H248" s="220" t="n">
        <v>0</v>
      </c>
      <c r="I248" s="220" t="n">
        <v>0</v>
      </c>
    </row>
    <row r="249" ht="28" customHeight="1" s="132">
      <c r="A249" s="220" t="inlineStr">
        <is>
          <t>A238</t>
        </is>
      </c>
      <c r="B249" s="220" t="inlineStr">
        <is>
          <t>LCC-2504199</t>
        </is>
      </c>
      <c r="C249" s="237" t="n">
        <v>45804</v>
      </c>
      <c r="D249" s="220" t="n">
        <v>210</v>
      </c>
      <c r="E249" s="220" t="n">
        <v>31.5</v>
      </c>
      <c r="F249" s="220" t="n">
        <v>178.5</v>
      </c>
      <c r="G249" s="220" t="n">
        <v>0</v>
      </c>
      <c r="H249" s="220" t="n">
        <v>0</v>
      </c>
      <c r="I249" s="220" t="n">
        <v>0</v>
      </c>
    </row>
    <row r="250" ht="28" customHeight="1" s="132">
      <c r="A250" s="220" t="inlineStr">
        <is>
          <t>A239</t>
        </is>
      </c>
      <c r="B250" s="220" t="inlineStr">
        <is>
          <t>LCC-2504198</t>
        </is>
      </c>
      <c r="C250" s="237" t="n">
        <v>45804</v>
      </c>
      <c r="D250" s="220" t="n">
        <v>1600</v>
      </c>
      <c r="E250" s="220" t="n">
        <v>240</v>
      </c>
      <c r="F250" s="220" t="n">
        <v>1360</v>
      </c>
      <c r="G250" s="220" t="n">
        <v>0</v>
      </c>
      <c r="H250" s="220" t="n">
        <v>0</v>
      </c>
      <c r="I250" s="220" t="n">
        <v>0</v>
      </c>
    </row>
    <row r="251" ht="28" customHeight="1" s="132">
      <c r="A251" s="220" t="inlineStr">
        <is>
          <t>A240</t>
        </is>
      </c>
      <c r="B251" s="220" t="inlineStr">
        <is>
          <t>LCC-2504197</t>
        </is>
      </c>
      <c r="C251" s="237" t="n">
        <v>45804</v>
      </c>
      <c r="D251" s="220" t="n">
        <v>1020</v>
      </c>
      <c r="E251" s="220" t="n">
        <v>153</v>
      </c>
      <c r="F251" s="220" t="n">
        <v>867</v>
      </c>
      <c r="G251" s="220" t="n">
        <v>0</v>
      </c>
      <c r="H251" s="220" t="n">
        <v>0</v>
      </c>
      <c r="I251" s="220" t="n">
        <v>0</v>
      </c>
    </row>
    <row r="252" ht="28" customHeight="1" s="132">
      <c r="A252" s="220" t="inlineStr">
        <is>
          <t>A241</t>
        </is>
      </c>
      <c r="B252" s="220" t="inlineStr">
        <is>
          <t>LCC-2504202</t>
        </is>
      </c>
      <c r="C252" s="237" t="n">
        <v>45806</v>
      </c>
      <c r="D252" s="220" t="n">
        <v>2975</v>
      </c>
      <c r="E252" s="220" t="n">
        <v>446.25</v>
      </c>
      <c r="F252" s="220" t="n">
        <v>2528.75</v>
      </c>
      <c r="G252" s="220" t="n">
        <v>0</v>
      </c>
      <c r="H252" s="220" t="n">
        <v>0</v>
      </c>
      <c r="I252" s="220" t="n">
        <v>0</v>
      </c>
    </row>
    <row r="253" ht="28" customHeight="1" s="132">
      <c r="A253" s="220" t="inlineStr">
        <is>
          <t>A242</t>
        </is>
      </c>
      <c r="B253" s="220" t="inlineStr">
        <is>
          <t>LCP-2504201</t>
        </is>
      </c>
      <c r="C253" s="237" t="n">
        <v>45806</v>
      </c>
      <c r="D253" s="220" t="n">
        <v>250</v>
      </c>
      <c r="E253" s="220" t="n">
        <v>37.5</v>
      </c>
      <c r="F253" s="220" t="n">
        <v>212.5</v>
      </c>
      <c r="G253" s="220" t="n">
        <v>0</v>
      </c>
      <c r="H253" s="220" t="n">
        <v>0</v>
      </c>
      <c r="I253" s="220" t="n">
        <v>0</v>
      </c>
    </row>
    <row r="254" ht="28" customHeight="1" s="132">
      <c r="A254" s="220" t="inlineStr">
        <is>
          <t>A243</t>
        </is>
      </c>
      <c r="B254" s="220" t="inlineStr">
        <is>
          <t>LCC-2504204</t>
        </is>
      </c>
      <c r="C254" s="237" t="n">
        <v>45807</v>
      </c>
      <c r="D254" s="220" t="n">
        <v>10200</v>
      </c>
      <c r="E254" s="220" t="n">
        <v>1530</v>
      </c>
      <c r="F254" s="220" t="n">
        <v>8670</v>
      </c>
      <c r="G254" s="220" t="n">
        <v>0</v>
      </c>
      <c r="H254" s="220" t="n">
        <v>0</v>
      </c>
      <c r="I254" s="220" t="n">
        <v>0</v>
      </c>
    </row>
    <row r="255" ht="28" customHeight="1" s="132">
      <c r="A255" s="220" t="inlineStr">
        <is>
          <t>A244</t>
        </is>
      </c>
      <c r="B255" s="220" t="inlineStr">
        <is>
          <t>LCC-2504203</t>
        </is>
      </c>
      <c r="C255" s="237" t="n">
        <v>45807</v>
      </c>
      <c r="D255" s="220" t="n">
        <v>210</v>
      </c>
      <c r="E255" s="220" t="n">
        <v>31.5</v>
      </c>
      <c r="F255" s="220" t="n">
        <v>178.5</v>
      </c>
      <c r="G255" s="220" t="n">
        <v>0</v>
      </c>
      <c r="H255" s="220" t="n">
        <v>0</v>
      </c>
      <c r="I255" s="220" t="n">
        <v>0</v>
      </c>
    </row>
    <row r="256" ht="28" customHeight="1" s="132">
      <c r="A256" s="220" t="inlineStr">
        <is>
          <t>A245</t>
        </is>
      </c>
      <c r="B256" s="220" t="inlineStr">
        <is>
          <t>LCC-2504211</t>
        </is>
      </c>
      <c r="C256" s="237" t="n">
        <v>45810</v>
      </c>
      <c r="D256" s="220" t="n">
        <v>37400</v>
      </c>
      <c r="E256" s="220" t="n">
        <v>5610</v>
      </c>
      <c r="F256" s="220" t="n">
        <v>31790</v>
      </c>
      <c r="G256" s="220" t="n">
        <v>0</v>
      </c>
      <c r="H256" s="220" t="n">
        <v>0</v>
      </c>
      <c r="I256" s="220" t="n">
        <v>0</v>
      </c>
    </row>
    <row r="257" ht="28" customHeight="1" s="132">
      <c r="A257" s="220" t="inlineStr">
        <is>
          <t>A246</t>
        </is>
      </c>
      <c r="B257" s="220" t="inlineStr">
        <is>
          <t>LCC-2504213</t>
        </is>
      </c>
      <c r="C257" s="237" t="n">
        <v>45810</v>
      </c>
      <c r="D257" s="220" t="n">
        <v>28900</v>
      </c>
      <c r="E257" s="220" t="n">
        <v>4335</v>
      </c>
      <c r="F257" s="220" t="n">
        <v>24565</v>
      </c>
      <c r="G257" s="220" t="n">
        <v>0</v>
      </c>
      <c r="H257" s="220" t="n">
        <v>0</v>
      </c>
      <c r="I257" s="220" t="n">
        <v>0</v>
      </c>
    </row>
    <row r="258" ht="28" customHeight="1" s="132">
      <c r="A258" s="220" t="inlineStr">
        <is>
          <t>A247</t>
        </is>
      </c>
      <c r="B258" s="220" t="inlineStr">
        <is>
          <t>LCC-2504207</t>
        </is>
      </c>
      <c r="C258" s="237" t="n">
        <v>45810</v>
      </c>
      <c r="D258" s="220" t="n">
        <v>210</v>
      </c>
      <c r="E258" s="220" t="n">
        <v>31.5</v>
      </c>
      <c r="F258" s="220" t="n">
        <v>178.5</v>
      </c>
      <c r="G258" s="220" t="n">
        <v>0</v>
      </c>
      <c r="H258" s="220" t="n">
        <v>0</v>
      </c>
      <c r="I258" s="220" t="n">
        <v>0</v>
      </c>
    </row>
    <row r="259" ht="28" customHeight="1" s="132">
      <c r="A259" s="220" t="inlineStr">
        <is>
          <t>A248</t>
        </is>
      </c>
      <c r="B259" s="220" t="inlineStr">
        <is>
          <t>LCC-2504214</t>
        </is>
      </c>
      <c r="C259" s="237" t="n">
        <v>45810</v>
      </c>
      <c r="D259" s="220" t="n">
        <v>40800</v>
      </c>
      <c r="E259" s="220" t="n">
        <v>6120</v>
      </c>
      <c r="F259" s="220" t="n">
        <v>34680</v>
      </c>
      <c r="G259" s="220" t="n">
        <v>0</v>
      </c>
      <c r="H259" s="220" t="n">
        <v>0</v>
      </c>
      <c r="I259" s="220" t="n">
        <v>0</v>
      </c>
    </row>
    <row r="260" ht="28" customHeight="1" s="132">
      <c r="A260" s="220" t="inlineStr">
        <is>
          <t>A249</t>
        </is>
      </c>
      <c r="B260" s="220" t="inlineStr">
        <is>
          <t>LCC-2504215</t>
        </is>
      </c>
      <c r="C260" s="237" t="n">
        <v>45811</v>
      </c>
      <c r="D260" s="220" t="n">
        <v>210</v>
      </c>
      <c r="E260" s="220" t="n">
        <v>31.5</v>
      </c>
      <c r="F260" s="220" t="n">
        <v>178.5</v>
      </c>
      <c r="G260" s="220" t="n">
        <v>0</v>
      </c>
      <c r="H260" s="220" t="n">
        <v>0</v>
      </c>
      <c r="I260" s="220" t="n">
        <v>0</v>
      </c>
    </row>
    <row r="261" ht="28" customHeight="1" s="132">
      <c r="A261" s="220" t="inlineStr">
        <is>
          <t>A250</t>
        </is>
      </c>
      <c r="B261" s="220" t="inlineStr">
        <is>
          <t>LCC-2504217</t>
        </is>
      </c>
      <c r="C261" s="237" t="n">
        <v>45812</v>
      </c>
      <c r="D261" s="220" t="n">
        <v>750</v>
      </c>
      <c r="E261" s="220" t="n">
        <v>112.5</v>
      </c>
      <c r="F261" s="220" t="n">
        <v>637.5</v>
      </c>
      <c r="G261" s="220" t="n">
        <v>0</v>
      </c>
      <c r="H261" s="220" t="n">
        <v>0</v>
      </c>
      <c r="I261" s="220" t="n">
        <v>0</v>
      </c>
    </row>
    <row r="262" ht="28" customHeight="1" s="132">
      <c r="A262" s="220" t="inlineStr">
        <is>
          <t>A251</t>
        </is>
      </c>
      <c r="B262" s="220" t="inlineStr">
        <is>
          <t>LCP-2504218</t>
        </is>
      </c>
      <c r="C262" s="237" t="n">
        <v>45812</v>
      </c>
      <c r="D262" s="220" t="n">
        <v>250</v>
      </c>
      <c r="E262" s="220" t="n">
        <v>37.5</v>
      </c>
      <c r="F262" s="220" t="n">
        <v>212.5</v>
      </c>
      <c r="G262" s="220" t="n">
        <v>0</v>
      </c>
      <c r="H262" s="220" t="n">
        <v>0</v>
      </c>
      <c r="I262" s="220" t="n">
        <v>0</v>
      </c>
    </row>
    <row r="263" ht="28" customHeight="1" s="132">
      <c r="A263" s="220" t="inlineStr">
        <is>
          <t>A252</t>
        </is>
      </c>
      <c r="B263" s="220" t="inlineStr">
        <is>
          <t>LCC-2504220</t>
        </is>
      </c>
      <c r="C263" s="237" t="n">
        <v>45813</v>
      </c>
      <c r="D263" s="220" t="n">
        <v>400</v>
      </c>
      <c r="E263" s="220" t="n">
        <v>60</v>
      </c>
      <c r="F263" s="220" t="n">
        <v>340</v>
      </c>
      <c r="G263" s="220" t="n">
        <v>0</v>
      </c>
      <c r="H263" s="220" t="n">
        <v>0</v>
      </c>
      <c r="I263" s="220" t="n">
        <v>0</v>
      </c>
    </row>
    <row r="264" ht="28" customHeight="1" s="132">
      <c r="A264" s="220" t="inlineStr">
        <is>
          <t>A253</t>
        </is>
      </c>
      <c r="B264" s="220" t="inlineStr">
        <is>
          <t>LCC-2504219</t>
        </is>
      </c>
      <c r="C264" s="237" t="n">
        <v>45813</v>
      </c>
      <c r="D264" s="220" t="n">
        <v>210</v>
      </c>
      <c r="E264" s="220" t="n">
        <v>31.5</v>
      </c>
      <c r="F264" s="220" t="n">
        <v>178.5</v>
      </c>
      <c r="G264" s="220" t="n">
        <v>0</v>
      </c>
      <c r="H264" s="220" t="n">
        <v>0</v>
      </c>
      <c r="I264" s="220" t="n">
        <v>0</v>
      </c>
    </row>
    <row r="265" ht="28" customHeight="1" s="132">
      <c r="A265" s="220" t="inlineStr">
        <is>
          <t>A254</t>
        </is>
      </c>
      <c r="B265" s="220" t="inlineStr">
        <is>
          <t>LCC-2504221</t>
        </is>
      </c>
      <c r="C265" s="237" t="n">
        <v>45813</v>
      </c>
      <c r="D265" s="220" t="n">
        <v>700</v>
      </c>
      <c r="E265" s="220" t="n">
        <v>105</v>
      </c>
      <c r="F265" s="220" t="n">
        <v>595</v>
      </c>
      <c r="G265" s="220" t="n">
        <v>0</v>
      </c>
      <c r="H265" s="220" t="n">
        <v>0</v>
      </c>
      <c r="I265" s="220" t="n">
        <v>0</v>
      </c>
    </row>
    <row r="266" ht="28" customHeight="1" s="132">
      <c r="A266" s="220" t="inlineStr">
        <is>
          <t>A255</t>
        </is>
      </c>
      <c r="B266" s="220" t="inlineStr">
        <is>
          <t>LCC-2504223</t>
        </is>
      </c>
      <c r="C266" s="237" t="n">
        <v>45818</v>
      </c>
      <c r="D266" s="220" t="n">
        <v>4250</v>
      </c>
      <c r="E266" s="220" t="n">
        <v>637.5</v>
      </c>
      <c r="F266" s="220" t="n">
        <v>3612.5</v>
      </c>
      <c r="G266" s="220" t="n">
        <v>0</v>
      </c>
      <c r="H266" s="220" t="n">
        <v>0</v>
      </c>
      <c r="I266" s="220" t="n">
        <v>0</v>
      </c>
    </row>
    <row r="267" ht="28" customHeight="1" s="132">
      <c r="A267" s="220" t="inlineStr">
        <is>
          <t>A256</t>
        </is>
      </c>
      <c r="B267" s="220" t="inlineStr">
        <is>
          <t>LCC-2504224</t>
        </is>
      </c>
      <c r="C267" s="237" t="n">
        <v>45818</v>
      </c>
      <c r="D267" s="220" t="n">
        <v>7293</v>
      </c>
      <c r="E267" s="220" t="n">
        <v>1093.95</v>
      </c>
      <c r="F267" s="220" t="n">
        <v>6199.05</v>
      </c>
      <c r="G267" s="220" t="n">
        <v>0</v>
      </c>
      <c r="H267" s="220" t="n">
        <v>0</v>
      </c>
      <c r="I267" s="220" t="n">
        <v>0</v>
      </c>
    </row>
    <row r="268" ht="28" customHeight="1" s="132">
      <c r="A268" s="220" t="inlineStr">
        <is>
          <t>A257</t>
        </is>
      </c>
      <c r="B268" s="220" t="inlineStr">
        <is>
          <t>LCP-2504227</t>
        </is>
      </c>
      <c r="C268" s="237" t="n">
        <v>45820</v>
      </c>
      <c r="D268" s="220" t="n">
        <v>250</v>
      </c>
      <c r="E268" s="220" t="n">
        <v>37.5</v>
      </c>
      <c r="F268" s="220" t="n">
        <v>212.5</v>
      </c>
      <c r="G268" s="220" t="n">
        <v>0</v>
      </c>
      <c r="H268" s="220" t="n">
        <v>0</v>
      </c>
      <c r="I268" s="220" t="n">
        <v>0</v>
      </c>
    </row>
    <row r="269" ht="28" customHeight="1" s="132">
      <c r="A269" s="220" t="inlineStr">
        <is>
          <t>A258</t>
        </is>
      </c>
      <c r="B269" s="220" t="inlineStr">
        <is>
          <t>LCC-2504230</t>
        </is>
      </c>
      <c r="C269" s="237" t="n">
        <v>45825</v>
      </c>
      <c r="D269" s="220" t="n">
        <v>235</v>
      </c>
      <c r="E269" s="220" t="n">
        <v>35.25</v>
      </c>
      <c r="F269" s="220" t="n">
        <v>199.75</v>
      </c>
      <c r="G269" s="220" t="n">
        <v>0</v>
      </c>
      <c r="H269" s="220" t="n">
        <v>0</v>
      </c>
      <c r="I269" s="220" t="n">
        <v>0</v>
      </c>
    </row>
    <row r="270" ht="28" customHeight="1" s="132">
      <c r="A270" s="220" t="inlineStr">
        <is>
          <t>A259</t>
        </is>
      </c>
      <c r="B270" s="220" t="inlineStr">
        <is>
          <t>LCC-2504229</t>
        </is>
      </c>
      <c r="C270" s="237" t="n">
        <v>45825</v>
      </c>
      <c r="D270" s="220" t="n">
        <v>210</v>
      </c>
      <c r="E270" s="220" t="n">
        <v>31.5</v>
      </c>
      <c r="F270" s="220" t="n">
        <v>178.5</v>
      </c>
      <c r="G270" s="220" t="n">
        <v>0</v>
      </c>
      <c r="H270" s="220" t="n">
        <v>0</v>
      </c>
      <c r="I270" s="220" t="n">
        <v>0</v>
      </c>
    </row>
    <row r="271" ht="28" customHeight="1" s="132">
      <c r="A271" s="220" t="inlineStr">
        <is>
          <t>A260</t>
        </is>
      </c>
      <c r="B271" s="220" t="inlineStr">
        <is>
          <t>LCC-2504228</t>
        </is>
      </c>
      <c r="C271" s="237" t="n">
        <v>45825</v>
      </c>
      <c r="D271" s="220" t="n">
        <v>210</v>
      </c>
      <c r="E271" s="220" t="n">
        <v>31.5</v>
      </c>
      <c r="F271" s="220" t="n">
        <v>178.5</v>
      </c>
      <c r="G271" s="220" t="n">
        <v>0</v>
      </c>
      <c r="H271" s="220" t="n">
        <v>0</v>
      </c>
      <c r="I271" s="220" t="n">
        <v>0</v>
      </c>
    </row>
    <row r="272" ht="28" customHeight="1" s="132">
      <c r="A272" s="220" t="inlineStr">
        <is>
          <t>A261</t>
        </is>
      </c>
      <c r="B272" s="220" t="inlineStr">
        <is>
          <t>LCC-2504231</t>
        </is>
      </c>
      <c r="C272" s="237" t="n">
        <v>45826</v>
      </c>
      <c r="D272" s="220" t="n">
        <v>400</v>
      </c>
      <c r="E272" s="220" t="n">
        <v>60</v>
      </c>
      <c r="F272" s="220" t="n">
        <v>340</v>
      </c>
      <c r="G272" s="220" t="n">
        <v>0</v>
      </c>
      <c r="H272" s="220" t="n">
        <v>0</v>
      </c>
      <c r="I272" s="220" t="n">
        <v>0</v>
      </c>
    </row>
    <row r="273" ht="28" customHeight="1" s="132">
      <c r="A273" s="220" t="inlineStr">
        <is>
          <t>A262</t>
        </is>
      </c>
      <c r="B273" s="220" t="inlineStr">
        <is>
          <t>LCC-2504233</t>
        </is>
      </c>
      <c r="C273" s="237" t="n">
        <v>45827</v>
      </c>
      <c r="D273" s="220" t="n">
        <v>14110</v>
      </c>
      <c r="E273" s="220" t="n">
        <v>2116.5</v>
      </c>
      <c r="F273" s="220" t="n">
        <v>11993.5</v>
      </c>
      <c r="G273" s="220" t="n">
        <v>0</v>
      </c>
      <c r="H273" s="220" t="n">
        <v>0</v>
      </c>
      <c r="I273" s="220" t="n">
        <v>0</v>
      </c>
    </row>
    <row r="274" ht="28" customHeight="1" s="132">
      <c r="A274" s="220" t="inlineStr">
        <is>
          <t>A263</t>
        </is>
      </c>
      <c r="B274" s="220" t="inlineStr">
        <is>
          <t>LCC-2504237</t>
        </is>
      </c>
      <c r="C274" s="237" t="n">
        <v>45828</v>
      </c>
      <c r="D274" s="220" t="n">
        <v>500</v>
      </c>
      <c r="E274" s="220" t="n">
        <v>75</v>
      </c>
      <c r="F274" s="220" t="n">
        <v>425</v>
      </c>
      <c r="G274" s="220" t="n">
        <v>0</v>
      </c>
      <c r="H274" s="220" t="n">
        <v>0</v>
      </c>
      <c r="I274" s="220" t="n">
        <v>0</v>
      </c>
    </row>
    <row r="275" ht="28" customHeight="1" s="132">
      <c r="A275" s="220" t="inlineStr">
        <is>
          <t>A264</t>
        </is>
      </c>
      <c r="B275" s="220" t="inlineStr">
        <is>
          <t>LCC-2504234</t>
        </is>
      </c>
      <c r="C275" s="237" t="n">
        <v>45828</v>
      </c>
      <c r="D275" s="220" t="n">
        <v>64600</v>
      </c>
      <c r="E275" s="220" t="n">
        <v>9690</v>
      </c>
      <c r="F275" s="220" t="n">
        <v>54910</v>
      </c>
      <c r="G275" s="220" t="n">
        <v>0</v>
      </c>
      <c r="H275" s="220" t="n">
        <v>0</v>
      </c>
      <c r="I275" s="220" t="n">
        <v>0</v>
      </c>
    </row>
    <row r="276" ht="28" customHeight="1" s="132">
      <c r="A276" s="220" t="inlineStr">
        <is>
          <t>A265</t>
        </is>
      </c>
      <c r="B276" s="220" t="inlineStr">
        <is>
          <t>LCC-2504238</t>
        </is>
      </c>
      <c r="C276" s="237" t="n">
        <v>45828</v>
      </c>
      <c r="D276" s="220" t="n">
        <v>59500</v>
      </c>
      <c r="E276" s="220" t="n">
        <v>8925</v>
      </c>
      <c r="F276" s="220" t="n">
        <v>50575</v>
      </c>
      <c r="G276" s="220" t="n">
        <v>0</v>
      </c>
      <c r="H276" s="220" t="n">
        <v>0</v>
      </c>
      <c r="I276" s="220" t="n">
        <v>0</v>
      </c>
    </row>
    <row r="277" ht="28" customHeight="1" s="132">
      <c r="A277" s="220" t="inlineStr">
        <is>
          <t>A266</t>
        </is>
      </c>
      <c r="B277" s="220" t="inlineStr">
        <is>
          <t>LCC-2504236</t>
        </is>
      </c>
      <c r="C277" s="237" t="n">
        <v>45828</v>
      </c>
      <c r="D277" s="220" t="n">
        <v>9670</v>
      </c>
      <c r="E277" s="220" t="n">
        <v>1450.5</v>
      </c>
      <c r="F277" s="220" t="n">
        <v>8219.5</v>
      </c>
      <c r="G277" s="220" t="n">
        <v>0</v>
      </c>
      <c r="H277" s="220" t="n">
        <v>0</v>
      </c>
      <c r="I277" s="220" t="n">
        <v>0</v>
      </c>
    </row>
    <row r="278" ht="28" customHeight="1" s="132">
      <c r="A278" s="220" t="inlineStr">
        <is>
          <t>A267</t>
        </is>
      </c>
      <c r="B278" s="220" t="inlineStr">
        <is>
          <t>LCC-2504239</t>
        </is>
      </c>
      <c r="C278" s="237" t="n">
        <v>45832</v>
      </c>
      <c r="D278" s="220" t="n">
        <v>500</v>
      </c>
      <c r="E278" s="220" t="n">
        <v>75</v>
      </c>
      <c r="F278" s="220" t="n">
        <v>425</v>
      </c>
      <c r="G278" s="220" t="n">
        <v>0</v>
      </c>
      <c r="H278" s="220" t="n">
        <v>0</v>
      </c>
      <c r="I278" s="220" t="n">
        <v>0</v>
      </c>
    </row>
    <row r="279" ht="28" customHeight="1" s="132">
      <c r="A279" s="220" t="inlineStr">
        <is>
          <t>A268</t>
        </is>
      </c>
      <c r="B279" s="220" t="inlineStr">
        <is>
          <t>LCC-2504240</t>
        </is>
      </c>
      <c r="C279" s="237" t="n">
        <v>45838</v>
      </c>
      <c r="D279" s="220" t="n">
        <v>4250</v>
      </c>
      <c r="E279" s="220" t="n">
        <v>637.5</v>
      </c>
      <c r="F279" s="220" t="n">
        <v>3612.5</v>
      </c>
      <c r="G279" s="220" t="n">
        <v>0</v>
      </c>
      <c r="H279" s="220" t="n">
        <v>0</v>
      </c>
      <c r="I279" s="220" t="n">
        <v>0</v>
      </c>
    </row>
    <row r="280" ht="28" customHeight="1" s="132">
      <c r="A280" s="220" t="inlineStr">
        <is>
          <t>A269</t>
        </is>
      </c>
      <c r="B280" s="220" t="inlineStr">
        <is>
          <t>LCC-2504241</t>
        </is>
      </c>
      <c r="C280" s="237" t="n">
        <v>45839</v>
      </c>
      <c r="D280" s="220" t="n">
        <v>700</v>
      </c>
      <c r="E280" s="220" t="n">
        <v>105</v>
      </c>
      <c r="F280" s="220" t="n">
        <v>595</v>
      </c>
      <c r="G280" s="220" t="n">
        <v>0</v>
      </c>
      <c r="H280" s="220" t="n">
        <v>0</v>
      </c>
      <c r="I280" s="220" t="n">
        <v>0</v>
      </c>
    </row>
    <row r="281" ht="28" customHeight="1" s="132">
      <c r="A281" s="220" t="inlineStr">
        <is>
          <t>A270</t>
        </is>
      </c>
      <c r="B281" s="220" t="inlineStr">
        <is>
          <t>LCC-2504243</t>
        </is>
      </c>
      <c r="C281" s="237" t="n">
        <v>45839</v>
      </c>
      <c r="D281" s="220" t="n">
        <v>210</v>
      </c>
      <c r="E281" s="220" t="n">
        <v>31.5</v>
      </c>
      <c r="F281" s="220" t="n">
        <v>178.5</v>
      </c>
      <c r="G281" s="220" t="n">
        <v>0</v>
      </c>
      <c r="H281" s="220" t="n">
        <v>0</v>
      </c>
      <c r="I281" s="220" t="n">
        <v>0</v>
      </c>
    </row>
    <row r="282" ht="28" customHeight="1" s="132">
      <c r="A282" s="220" t="inlineStr">
        <is>
          <t>A271</t>
        </is>
      </c>
      <c r="B282" s="220" t="inlineStr">
        <is>
          <t>LCC-2504246</t>
        </is>
      </c>
      <c r="C282" s="237" t="n">
        <v>45841</v>
      </c>
      <c r="D282" s="220" t="n">
        <v>210</v>
      </c>
      <c r="E282" s="220" t="n">
        <v>31.5</v>
      </c>
      <c r="F282" s="220" t="n">
        <v>178.5</v>
      </c>
      <c r="G282" s="220" t="n">
        <v>0</v>
      </c>
      <c r="H282" s="220" t="n">
        <v>0</v>
      </c>
      <c r="I282" s="220" t="n">
        <v>0</v>
      </c>
    </row>
    <row r="283" ht="28" customHeight="1" s="132">
      <c r="A283" s="220" t="inlineStr">
        <is>
          <t>A272</t>
        </is>
      </c>
      <c r="B283" s="220" t="inlineStr">
        <is>
          <t>LCC-2504245</t>
        </is>
      </c>
      <c r="C283" s="237" t="n">
        <v>45842</v>
      </c>
      <c r="D283" s="220" t="n">
        <v>210</v>
      </c>
      <c r="E283" s="220" t="n">
        <v>31.5</v>
      </c>
      <c r="F283" s="220" t="n">
        <v>178.5</v>
      </c>
      <c r="G283" s="220" t="n">
        <v>0</v>
      </c>
      <c r="H283" s="220" t="n">
        <v>0</v>
      </c>
      <c r="I283" s="220" t="n">
        <v>0</v>
      </c>
    </row>
    <row r="284" ht="28" customHeight="1" s="132">
      <c r="A284" s="220" t="inlineStr">
        <is>
          <t>A273</t>
        </is>
      </c>
      <c r="B284" s="220" t="inlineStr">
        <is>
          <t>LCC-2504247</t>
        </is>
      </c>
      <c r="C284" s="237" t="n">
        <v>45842</v>
      </c>
      <c r="D284" s="220" t="n">
        <v>210</v>
      </c>
      <c r="E284" s="220" t="n">
        <v>31.5</v>
      </c>
      <c r="F284" s="220" t="n">
        <v>178.5</v>
      </c>
      <c r="G284" s="220" t="n">
        <v>0</v>
      </c>
      <c r="H284" s="220" t="n">
        <v>0</v>
      </c>
      <c r="I284" s="220" t="n">
        <v>0</v>
      </c>
    </row>
    <row r="285" ht="28" customHeight="1" s="132">
      <c r="A285" s="220" t="inlineStr">
        <is>
          <t>A274</t>
        </is>
      </c>
      <c r="B285" s="220" t="inlineStr">
        <is>
          <t>LCC-2504249</t>
        </is>
      </c>
      <c r="C285" s="237" t="n">
        <v>45845</v>
      </c>
      <c r="D285" s="220" t="n">
        <v>210</v>
      </c>
      <c r="E285" s="220" t="n">
        <v>31.5</v>
      </c>
      <c r="F285" s="220" t="n">
        <v>178.5</v>
      </c>
      <c r="G285" s="220" t="n">
        <v>0</v>
      </c>
      <c r="H285" s="220" t="n">
        <v>0</v>
      </c>
      <c r="I285" s="220" t="n">
        <v>0</v>
      </c>
    </row>
    <row r="286" ht="28" customHeight="1" s="132">
      <c r="A286" s="220" t="inlineStr">
        <is>
          <t>A275</t>
        </is>
      </c>
      <c r="B286" s="220" t="inlineStr">
        <is>
          <t>LCC-2504248</t>
        </is>
      </c>
      <c r="C286" s="237" t="n">
        <v>45845</v>
      </c>
      <c r="D286" s="220" t="n">
        <v>33363.2</v>
      </c>
      <c r="E286" s="220" t="n">
        <v>0</v>
      </c>
      <c r="F286" s="220" t="n">
        <v>33363.2</v>
      </c>
      <c r="G286" s="220" t="n">
        <v>0</v>
      </c>
      <c r="H286" s="220" t="n">
        <v>0</v>
      </c>
      <c r="I286" s="220" t="n">
        <v>0</v>
      </c>
    </row>
    <row r="287" ht="28" customHeight="1" s="132">
      <c r="A287" s="220" t="inlineStr">
        <is>
          <t>A276</t>
        </is>
      </c>
      <c r="B287" s="220" t="inlineStr">
        <is>
          <t>LCC-2504251</t>
        </is>
      </c>
      <c r="C287" s="237" t="n">
        <v>45846</v>
      </c>
      <c r="D287" s="220" t="n">
        <v>210</v>
      </c>
      <c r="E287" s="220" t="n">
        <v>31.5</v>
      </c>
      <c r="F287" s="220" t="n">
        <v>178.5</v>
      </c>
      <c r="G287" s="220" t="n">
        <v>0</v>
      </c>
      <c r="H287" s="220" t="n">
        <v>0</v>
      </c>
      <c r="I287" s="220" t="n">
        <v>0</v>
      </c>
    </row>
    <row r="288" ht="28" customHeight="1" s="132">
      <c r="A288" s="220" t="inlineStr">
        <is>
          <t>A277</t>
        </is>
      </c>
      <c r="B288" s="220" t="inlineStr">
        <is>
          <t>LCC-2504254</t>
        </is>
      </c>
      <c r="C288" s="237" t="n">
        <v>45846</v>
      </c>
      <c r="D288" s="220" t="n">
        <v>210</v>
      </c>
      <c r="E288" s="220" t="n">
        <v>31.5</v>
      </c>
      <c r="F288" s="220" t="n">
        <v>178.5</v>
      </c>
      <c r="G288" s="220" t="n">
        <v>0</v>
      </c>
      <c r="H288" s="220" t="n">
        <v>0</v>
      </c>
      <c r="I288" s="220" t="n">
        <v>0</v>
      </c>
    </row>
    <row r="289" ht="28" customHeight="1" s="132">
      <c r="A289" s="220" t="inlineStr">
        <is>
          <t>A278</t>
        </is>
      </c>
      <c r="B289" s="220" t="inlineStr">
        <is>
          <t>LCC-2504253</t>
        </is>
      </c>
      <c r="C289" s="237" t="n">
        <v>45846</v>
      </c>
      <c r="D289" s="220" t="n">
        <v>210</v>
      </c>
      <c r="E289" s="220" t="n">
        <v>31.5</v>
      </c>
      <c r="F289" s="220" t="n">
        <v>178.5</v>
      </c>
      <c r="G289" s="220" t="n">
        <v>0</v>
      </c>
      <c r="H289" s="220" t="n">
        <v>0</v>
      </c>
      <c r="I289" s="220" t="n">
        <v>0</v>
      </c>
    </row>
    <row r="290" ht="28" customHeight="1" s="132">
      <c r="A290" s="220" t="inlineStr">
        <is>
          <t>A279</t>
        </is>
      </c>
      <c r="B290" s="220" t="inlineStr">
        <is>
          <t>LCC-2504250</t>
        </is>
      </c>
      <c r="C290" s="237" t="n">
        <v>45846</v>
      </c>
      <c r="D290" s="220" t="n">
        <v>4250</v>
      </c>
      <c r="E290" s="220" t="n">
        <v>0</v>
      </c>
      <c r="F290" s="220" t="n">
        <v>4250</v>
      </c>
      <c r="G290" s="220" t="n">
        <v>0</v>
      </c>
      <c r="H290" s="220" t="n">
        <v>0</v>
      </c>
      <c r="I290" s="220" t="n">
        <v>0</v>
      </c>
    </row>
    <row r="291" ht="28" customHeight="1" s="132">
      <c r="A291" s="220" t="inlineStr">
        <is>
          <t>A280</t>
        </is>
      </c>
      <c r="B291" s="220" t="inlineStr">
        <is>
          <t>LCP-2504252</t>
        </is>
      </c>
      <c r="C291" s="237" t="n">
        <v>45846</v>
      </c>
      <c r="D291" s="220" t="n">
        <v>250</v>
      </c>
      <c r="E291" s="220" t="n">
        <v>37.5</v>
      </c>
      <c r="F291" s="220" t="n">
        <v>212.5</v>
      </c>
      <c r="G291" s="220" t="n">
        <v>0</v>
      </c>
      <c r="H291" s="220" t="n">
        <v>0</v>
      </c>
      <c r="I291" s="220" t="n">
        <v>0</v>
      </c>
    </row>
    <row r="292" ht="28" customHeight="1" s="132">
      <c r="A292" s="220" t="inlineStr">
        <is>
          <t>A281</t>
        </is>
      </c>
      <c r="B292" s="220" t="inlineStr">
        <is>
          <t>LCC-2504255</t>
        </is>
      </c>
      <c r="C292" s="237" t="n">
        <v>45847</v>
      </c>
      <c r="D292" s="220" t="n">
        <v>210</v>
      </c>
      <c r="E292" s="220" t="n">
        <v>31.5</v>
      </c>
      <c r="F292" s="220" t="n">
        <v>178.5</v>
      </c>
      <c r="G292" s="220" t="n">
        <v>0</v>
      </c>
      <c r="H292" s="220" t="n">
        <v>0</v>
      </c>
      <c r="I292" s="220" t="n">
        <v>0</v>
      </c>
    </row>
    <row r="293" ht="28" customHeight="1" s="132">
      <c r="A293" s="220" t="inlineStr">
        <is>
          <t>A282</t>
        </is>
      </c>
      <c r="B293" s="220" t="inlineStr">
        <is>
          <t>LCC-2504256</t>
        </is>
      </c>
      <c r="C293" s="237" t="n">
        <v>45853</v>
      </c>
      <c r="D293" s="220" t="n">
        <v>210</v>
      </c>
      <c r="E293" s="220" t="n">
        <v>31.5</v>
      </c>
      <c r="F293" s="220" t="n">
        <v>178.5</v>
      </c>
      <c r="G293" s="220" t="n">
        <v>0</v>
      </c>
      <c r="H293" s="220" t="n">
        <v>0</v>
      </c>
      <c r="I293" s="220" t="n">
        <v>0</v>
      </c>
    </row>
    <row r="294" ht="28" customHeight="1" s="132">
      <c r="A294" s="220" t="inlineStr">
        <is>
          <t>A283</t>
        </is>
      </c>
      <c r="B294" s="220" t="inlineStr">
        <is>
          <t>LCC-2504257</t>
        </is>
      </c>
      <c r="C294" s="237" t="n">
        <v>45854</v>
      </c>
      <c r="D294" s="220" t="n">
        <v>15181</v>
      </c>
      <c r="E294" s="220" t="n">
        <v>2277.15</v>
      </c>
      <c r="F294" s="220" t="n">
        <v>12903.85</v>
      </c>
      <c r="G294" s="220" t="n">
        <v>0</v>
      </c>
      <c r="H294" s="220" t="n">
        <v>0</v>
      </c>
      <c r="I294" s="220" t="n">
        <v>0</v>
      </c>
    </row>
    <row r="295" ht="28" customHeight="1" s="132">
      <c r="A295" s="220" t="inlineStr">
        <is>
          <t>A284</t>
        </is>
      </c>
      <c r="B295" s="220" t="inlineStr">
        <is>
          <t>LCC-2504258</t>
        </is>
      </c>
      <c r="C295" s="237" t="n">
        <v>45854</v>
      </c>
      <c r="D295" s="220" t="n">
        <v>5000</v>
      </c>
      <c r="E295" s="220" t="n">
        <v>750</v>
      </c>
      <c r="F295" s="220" t="n">
        <v>4250</v>
      </c>
      <c r="G295" s="220" t="n">
        <v>0</v>
      </c>
      <c r="H295" s="220" t="n">
        <v>0</v>
      </c>
      <c r="I295" s="220" t="n">
        <v>0</v>
      </c>
    </row>
    <row r="296" ht="28" customHeight="1" s="132">
      <c r="A296" s="220" t="inlineStr">
        <is>
          <t>A285</t>
        </is>
      </c>
      <c r="B296" s="220" t="inlineStr">
        <is>
          <t>LCC-2504260</t>
        </is>
      </c>
      <c r="C296" s="237" t="n">
        <v>45854</v>
      </c>
      <c r="D296" s="220" t="n">
        <v>4250</v>
      </c>
      <c r="E296" s="220" t="n">
        <v>0</v>
      </c>
      <c r="F296" s="220" t="n">
        <v>4250</v>
      </c>
      <c r="G296" s="220" t="n">
        <v>0</v>
      </c>
      <c r="H296" s="220" t="n">
        <v>0</v>
      </c>
      <c r="I296" s="220" t="n">
        <v>0</v>
      </c>
    </row>
    <row r="297" ht="28" customHeight="1" s="132">
      <c r="A297" s="220" t="inlineStr">
        <is>
          <t>A286</t>
        </is>
      </c>
      <c r="B297" s="220" t="inlineStr">
        <is>
          <t>LCC-2504259</t>
        </is>
      </c>
      <c r="C297" s="237" t="n">
        <v>45854</v>
      </c>
      <c r="D297" s="220" t="n">
        <v>35577.6</v>
      </c>
      <c r="E297" s="220" t="n">
        <v>0</v>
      </c>
      <c r="F297" s="220" t="n">
        <v>35577.6</v>
      </c>
      <c r="G297" s="220" t="n">
        <v>0</v>
      </c>
      <c r="H297" s="220" t="n">
        <v>0</v>
      </c>
      <c r="I297" s="220" t="n">
        <v>0</v>
      </c>
    </row>
    <row r="298" ht="28" customHeight="1" s="132">
      <c r="A298" s="220" t="inlineStr">
        <is>
          <t>A287</t>
        </is>
      </c>
      <c r="B298" s="220" t="inlineStr">
        <is>
          <t>LCC-2504224</t>
        </is>
      </c>
      <c r="C298" s="237" t="n">
        <v>45855</v>
      </c>
      <c r="D298" s="220" t="n">
        <v>850</v>
      </c>
      <c r="E298" s="220" t="n">
        <v>127.5</v>
      </c>
      <c r="F298" s="220" t="n">
        <v>722.5</v>
      </c>
      <c r="G298" s="220" t="n">
        <v>0</v>
      </c>
      <c r="H298" s="220" t="n">
        <v>0</v>
      </c>
      <c r="I298" s="220" t="n">
        <v>0</v>
      </c>
    </row>
    <row r="299" ht="28" customHeight="1" s="132">
      <c r="A299" s="220" t="inlineStr">
        <is>
          <t>A288</t>
        </is>
      </c>
      <c r="B299" s="220" t="inlineStr">
        <is>
          <t>LCC-2504265</t>
        </is>
      </c>
      <c r="C299" s="237" t="n">
        <v>45859</v>
      </c>
      <c r="D299" s="220" t="n">
        <v>11220</v>
      </c>
      <c r="E299" s="220" t="n">
        <v>1683</v>
      </c>
      <c r="F299" s="220" t="n">
        <v>9537</v>
      </c>
      <c r="G299" s="220" t="n">
        <v>0</v>
      </c>
      <c r="H299" s="220" t="n">
        <v>0</v>
      </c>
      <c r="I299" s="220" t="n">
        <v>0</v>
      </c>
    </row>
    <row r="300" ht="28" customHeight="1" s="132">
      <c r="A300" s="220" t="inlineStr">
        <is>
          <t>A289</t>
        </is>
      </c>
      <c r="B300" s="220" t="inlineStr">
        <is>
          <t>LCC-2504266</t>
        </is>
      </c>
      <c r="C300" s="237" t="n">
        <v>45861</v>
      </c>
      <c r="D300" s="220" t="n">
        <v>210</v>
      </c>
      <c r="E300" s="220" t="n">
        <v>31.5</v>
      </c>
      <c r="F300" s="220" t="n">
        <v>178.5</v>
      </c>
      <c r="G300" s="220" t="n">
        <v>0</v>
      </c>
      <c r="H300" s="220" t="n">
        <v>0</v>
      </c>
      <c r="I300" s="220" t="n">
        <v>0</v>
      </c>
    </row>
    <row r="301" ht="28" customHeight="1" s="132">
      <c r="A301" s="220" t="inlineStr">
        <is>
          <t>A290</t>
        </is>
      </c>
      <c r="B301" s="220" t="inlineStr">
        <is>
          <t>LCC-2504272</t>
        </is>
      </c>
      <c r="C301" s="237" t="n">
        <v>45862</v>
      </c>
      <c r="D301" s="220" t="n">
        <v>35345.28</v>
      </c>
      <c r="E301" s="220" t="n">
        <v>5301.79</v>
      </c>
      <c r="F301" s="220" t="n">
        <v>30043.49</v>
      </c>
      <c r="G301" s="220" t="n">
        <v>0</v>
      </c>
      <c r="H301" s="220" t="n">
        <v>0</v>
      </c>
      <c r="I301" s="220" t="n">
        <v>0</v>
      </c>
    </row>
    <row r="302" ht="28" customHeight="1" s="132">
      <c r="A302" s="220" t="inlineStr">
        <is>
          <t>A291</t>
        </is>
      </c>
      <c r="B302" s="220" t="inlineStr">
        <is>
          <t>LCC-2504270</t>
        </is>
      </c>
      <c r="C302" s="237" t="n">
        <v>45862</v>
      </c>
      <c r="D302" s="220" t="n">
        <v>985</v>
      </c>
      <c r="E302" s="220" t="n">
        <v>147.75</v>
      </c>
      <c r="F302" s="220" t="n">
        <v>837.25</v>
      </c>
      <c r="G302" s="220" t="n">
        <v>0</v>
      </c>
      <c r="H302" s="220" t="n">
        <v>0</v>
      </c>
      <c r="I302" s="220" t="n">
        <v>0</v>
      </c>
    </row>
    <row r="303" ht="28" customHeight="1" s="132">
      <c r="A303" s="220" t="inlineStr">
        <is>
          <t>A292</t>
        </is>
      </c>
      <c r="B303" s="220" t="inlineStr">
        <is>
          <t>LCC-2504268</t>
        </is>
      </c>
      <c r="C303" s="237" t="n">
        <v>45862</v>
      </c>
      <c r="D303" s="220" t="n">
        <v>210</v>
      </c>
      <c r="E303" s="220" t="n">
        <v>31.5</v>
      </c>
      <c r="F303" s="220" t="n">
        <v>178.5</v>
      </c>
      <c r="G303" s="220" t="n">
        <v>0</v>
      </c>
      <c r="H303" s="220" t="n">
        <v>0</v>
      </c>
      <c r="I303" s="220" t="n">
        <v>0</v>
      </c>
    </row>
    <row r="304" ht="28" customHeight="1" s="132">
      <c r="A304" s="220" t="inlineStr">
        <is>
          <t>A293</t>
        </is>
      </c>
      <c r="B304" s="220" t="inlineStr">
        <is>
          <t>LCC-2504267</t>
        </is>
      </c>
      <c r="C304" s="237" t="n">
        <v>45862</v>
      </c>
      <c r="D304" s="220" t="n">
        <v>12878.36</v>
      </c>
      <c r="E304" s="220" t="n">
        <v>1931.75</v>
      </c>
      <c r="F304" s="220" t="n">
        <v>10946.61</v>
      </c>
      <c r="G304" s="220" t="n">
        <v>0</v>
      </c>
      <c r="H304" s="220" t="n">
        <v>0</v>
      </c>
      <c r="I304" s="220" t="n">
        <v>0</v>
      </c>
    </row>
    <row r="305" ht="28" customHeight="1" s="132">
      <c r="A305" s="220" t="inlineStr">
        <is>
          <t>A294</t>
        </is>
      </c>
      <c r="B305" s="220" t="inlineStr">
        <is>
          <t>LCC-2504273</t>
        </is>
      </c>
      <c r="C305" s="237" t="n">
        <v>45862</v>
      </c>
      <c r="D305" s="220" t="n">
        <v>25494.88</v>
      </c>
      <c r="E305" s="220" t="n">
        <v>3824.23</v>
      </c>
      <c r="F305" s="220" t="n">
        <v>21670.65</v>
      </c>
      <c r="G305" s="220" t="n">
        <v>0</v>
      </c>
      <c r="H305" s="220" t="n">
        <v>0</v>
      </c>
      <c r="I305" s="220" t="n">
        <v>0</v>
      </c>
    </row>
    <row r="306" ht="28" customHeight="1" s="132">
      <c r="A306" s="220" t="inlineStr">
        <is>
          <t>A295</t>
        </is>
      </c>
      <c r="B306" s="220" t="inlineStr">
        <is>
          <t>LCC-2504271</t>
        </is>
      </c>
      <c r="C306" s="237" t="n">
        <v>45862</v>
      </c>
      <c r="D306" s="220" t="n">
        <v>26196.1</v>
      </c>
      <c r="E306" s="220" t="n">
        <v>3929.41</v>
      </c>
      <c r="F306" s="220" t="n">
        <v>22266.69</v>
      </c>
      <c r="G306" s="220" t="n">
        <v>0</v>
      </c>
      <c r="H306" s="220" t="n">
        <v>0</v>
      </c>
      <c r="I306" s="220" t="n">
        <v>0</v>
      </c>
    </row>
    <row r="307" ht="28" customHeight="1" s="132">
      <c r="A307" s="220" t="inlineStr">
        <is>
          <t>A296</t>
        </is>
      </c>
      <c r="B307" s="220" t="inlineStr">
        <is>
          <t>LCC-2504274</t>
        </is>
      </c>
      <c r="C307" s="237" t="n">
        <v>45866</v>
      </c>
      <c r="D307" s="220" t="n">
        <v>210</v>
      </c>
      <c r="E307" s="220" t="n">
        <v>31.5</v>
      </c>
      <c r="F307" s="220" t="n">
        <v>178.5</v>
      </c>
      <c r="G307" s="220" t="n">
        <v>0</v>
      </c>
      <c r="H307" s="220" t="n">
        <v>0</v>
      </c>
      <c r="I307" s="220" t="n">
        <v>0</v>
      </c>
    </row>
    <row r="308" ht="28" customHeight="1" s="132">
      <c r="A308" s="220" t="inlineStr">
        <is>
          <t>A297</t>
        </is>
      </c>
      <c r="B308" s="220" t="inlineStr">
        <is>
          <t>LCC-2504275</t>
        </is>
      </c>
      <c r="C308" s="237" t="n">
        <v>45867</v>
      </c>
      <c r="D308" s="220" t="n">
        <v>37400</v>
      </c>
      <c r="E308" s="220" t="n">
        <v>5610</v>
      </c>
      <c r="F308" s="220" t="n">
        <v>31790</v>
      </c>
      <c r="G308" s="220" t="n">
        <v>0</v>
      </c>
      <c r="H308" s="220" t="n">
        <v>0</v>
      </c>
      <c r="I308" s="220" t="n">
        <v>0</v>
      </c>
    </row>
    <row r="309" ht="28" customHeight="1" s="132">
      <c r="A309" s="220" t="inlineStr">
        <is>
          <t>A298</t>
        </is>
      </c>
      <c r="B309" s="220" t="inlineStr">
        <is>
          <t>LCC-2504276</t>
        </is>
      </c>
      <c r="C309" s="237" t="n">
        <v>45868</v>
      </c>
      <c r="D309" s="220" t="n">
        <v>210</v>
      </c>
      <c r="E309" s="220" t="n">
        <v>31.5</v>
      </c>
      <c r="F309" s="220" t="n">
        <v>178.5</v>
      </c>
      <c r="G309" s="220" t="n">
        <v>0</v>
      </c>
      <c r="H309" s="220" t="n">
        <v>0</v>
      </c>
      <c r="I309" s="220" t="n">
        <v>0</v>
      </c>
    </row>
    <row r="310" ht="28" customHeight="1" s="132">
      <c r="A310" s="220" t="inlineStr">
        <is>
          <t>A299</t>
        </is>
      </c>
      <c r="B310" s="220" t="inlineStr">
        <is>
          <t>LCC-2504278</t>
        </is>
      </c>
      <c r="C310" s="237" t="n">
        <v>45869</v>
      </c>
      <c r="D310" s="220" t="n">
        <v>18000</v>
      </c>
      <c r="E310" s="220" t="n">
        <v>2700</v>
      </c>
      <c r="F310" s="220" t="n">
        <v>15300</v>
      </c>
      <c r="G310" s="220" t="n">
        <v>0</v>
      </c>
      <c r="H310" s="220" t="n">
        <v>0</v>
      </c>
      <c r="I310" s="220" t="n">
        <v>0</v>
      </c>
    </row>
    <row r="311" ht="28" customHeight="1" s="132">
      <c r="A311" s="220" t="inlineStr">
        <is>
          <t>A300</t>
        </is>
      </c>
      <c r="B311" s="220" t="inlineStr">
        <is>
          <t>LCC-2504279</t>
        </is>
      </c>
      <c r="C311" s="237" t="n">
        <v>45869</v>
      </c>
      <c r="D311" s="220" t="n">
        <v>18000</v>
      </c>
      <c r="E311" s="220" t="n">
        <v>2700</v>
      </c>
      <c r="F311" s="220" t="n">
        <v>15300</v>
      </c>
      <c r="G311" s="220" t="n">
        <v>0</v>
      </c>
      <c r="H311" s="220" t="n">
        <v>0</v>
      </c>
      <c r="I311" s="220" t="n">
        <v>0</v>
      </c>
    </row>
    <row r="312" ht="28" customHeight="1" s="132">
      <c r="A312" s="220" t="inlineStr">
        <is>
          <t>A301</t>
        </is>
      </c>
      <c r="B312" s="220" t="inlineStr">
        <is>
          <t>LCC-2504280</t>
        </is>
      </c>
      <c r="C312" s="237" t="n">
        <v>45869</v>
      </c>
      <c r="D312" s="220" t="n">
        <v>1900</v>
      </c>
      <c r="E312" s="220" t="n">
        <v>285</v>
      </c>
      <c r="F312" s="220" t="n">
        <v>1615</v>
      </c>
      <c r="G312" s="220" t="n">
        <v>0</v>
      </c>
      <c r="H312" s="220" t="n">
        <v>0</v>
      </c>
      <c r="I312" s="220" t="n">
        <v>0</v>
      </c>
    </row>
    <row r="313" ht="28" customHeight="1" s="132">
      <c r="A313" s="220" t="inlineStr">
        <is>
          <t>A302</t>
        </is>
      </c>
      <c r="B313" s="220" t="inlineStr">
        <is>
          <t>LCC-2504277</t>
        </is>
      </c>
      <c r="C313" s="237" t="n">
        <v>45869</v>
      </c>
      <c r="D313" s="220" t="n">
        <v>14000</v>
      </c>
      <c r="E313" s="220" t="n">
        <v>2100</v>
      </c>
      <c r="F313" s="220" t="n">
        <v>11900</v>
      </c>
      <c r="G313" s="220" t="n">
        <v>0</v>
      </c>
      <c r="H313" s="220" t="n">
        <v>0</v>
      </c>
      <c r="I313" s="220" t="n">
        <v>0</v>
      </c>
    </row>
    <row r="314" ht="28" customHeight="1" s="132">
      <c r="A314" s="220" t="inlineStr">
        <is>
          <t>A303</t>
        </is>
      </c>
      <c r="B314" s="220" t="inlineStr">
        <is>
          <t>LCC-2504284</t>
        </is>
      </c>
      <c r="C314" s="237" t="n">
        <v>45870</v>
      </c>
      <c r="D314" s="220" t="n">
        <v>4852.25</v>
      </c>
      <c r="E314" s="220" t="n">
        <v>0</v>
      </c>
      <c r="F314" s="220" t="n">
        <v>4852.25</v>
      </c>
      <c r="G314" s="220" t="n">
        <v>0</v>
      </c>
      <c r="H314" s="220" t="n">
        <v>0</v>
      </c>
      <c r="I314" s="220" t="n">
        <v>0</v>
      </c>
    </row>
    <row r="315" ht="28" customHeight="1" s="132">
      <c r="A315" s="220" t="inlineStr">
        <is>
          <t>A304</t>
        </is>
      </c>
      <c r="B315" s="220" t="inlineStr">
        <is>
          <t>LCC-2504286</t>
        </is>
      </c>
      <c r="C315" s="237" t="n">
        <v>45870</v>
      </c>
      <c r="D315" s="220" t="n">
        <v>3162</v>
      </c>
      <c r="E315" s="220" t="n">
        <v>474.3</v>
      </c>
      <c r="F315" s="220" t="n">
        <v>2687.7</v>
      </c>
      <c r="G315" s="220" t="n">
        <v>0</v>
      </c>
      <c r="H315" s="220" t="n">
        <v>0</v>
      </c>
      <c r="I315" s="220" t="n">
        <v>0</v>
      </c>
    </row>
    <row r="316" ht="28" customHeight="1" s="132">
      <c r="A316" s="220" t="inlineStr">
        <is>
          <t>A305</t>
        </is>
      </c>
      <c r="B316" s="220" t="inlineStr">
        <is>
          <t>LCC-2504282</t>
        </is>
      </c>
      <c r="C316" s="237" t="n">
        <v>45870</v>
      </c>
      <c r="D316" s="220" t="n">
        <v>1045</v>
      </c>
      <c r="E316" s="220" t="n">
        <v>0</v>
      </c>
      <c r="F316" s="220" t="n">
        <v>1045</v>
      </c>
      <c r="G316" s="220" t="n">
        <v>0</v>
      </c>
      <c r="H316" s="220" t="n">
        <v>0</v>
      </c>
      <c r="I316" s="220" t="n">
        <v>0</v>
      </c>
    </row>
    <row r="317" ht="28" customHeight="1" s="132">
      <c r="A317" s="220" t="inlineStr">
        <is>
          <t>A306</t>
        </is>
      </c>
      <c r="B317" s="220" t="inlineStr">
        <is>
          <t>LCC-2504288</t>
        </is>
      </c>
      <c r="C317" s="237" t="n">
        <v>45874</v>
      </c>
      <c r="D317" s="220" t="n">
        <v>210</v>
      </c>
      <c r="E317" s="220" t="n">
        <v>31.5</v>
      </c>
      <c r="F317" s="220" t="n">
        <v>178.5</v>
      </c>
      <c r="G317" s="220" t="n">
        <v>0</v>
      </c>
      <c r="H317" s="220" t="n">
        <v>0</v>
      </c>
      <c r="I317" s="220" t="n">
        <v>0</v>
      </c>
    </row>
    <row r="318" ht="28" customHeight="1" s="132">
      <c r="A318" s="220" t="inlineStr">
        <is>
          <t>A307</t>
        </is>
      </c>
      <c r="B318" s="220" t="inlineStr">
        <is>
          <t>LCC-2504290</t>
        </is>
      </c>
      <c r="C318" s="237" t="n">
        <v>45875</v>
      </c>
      <c r="D318" s="220" t="n">
        <v>400</v>
      </c>
      <c r="E318" s="220" t="n">
        <v>60</v>
      </c>
      <c r="F318" s="220" t="n">
        <v>340</v>
      </c>
      <c r="G318" s="220" t="n">
        <v>0</v>
      </c>
      <c r="H318" s="220" t="n">
        <v>0</v>
      </c>
      <c r="I318" s="220" t="n">
        <v>0</v>
      </c>
    </row>
    <row r="319" ht="28" customHeight="1" s="132">
      <c r="A319" s="220" t="inlineStr">
        <is>
          <t>A308</t>
        </is>
      </c>
      <c r="B319" s="220" t="inlineStr">
        <is>
          <t>LCC-2504289</t>
        </is>
      </c>
      <c r="C319" s="237" t="n">
        <v>45875</v>
      </c>
      <c r="D319" s="220" t="n">
        <v>500</v>
      </c>
      <c r="E319" s="220" t="n">
        <v>75</v>
      </c>
      <c r="F319" s="220" t="n">
        <v>425</v>
      </c>
      <c r="G319" s="220" t="n">
        <v>0</v>
      </c>
      <c r="H319" s="220" t="n">
        <v>0</v>
      </c>
      <c r="I319" s="220" t="n">
        <v>0</v>
      </c>
    </row>
    <row r="320" ht="28" customHeight="1" s="132">
      <c r="A320" s="220" t="inlineStr">
        <is>
          <t>A309</t>
        </is>
      </c>
      <c r="B320" s="220" t="inlineStr">
        <is>
          <t>LCP-2504293</t>
        </is>
      </c>
      <c r="C320" s="237" t="n">
        <v>45876</v>
      </c>
      <c r="D320" s="220" t="n">
        <v>250</v>
      </c>
      <c r="E320" s="220" t="n">
        <v>37.5</v>
      </c>
      <c r="F320" s="220" t="n">
        <v>212.5</v>
      </c>
      <c r="G320" s="220" t="n">
        <v>0</v>
      </c>
      <c r="H320" s="220" t="n">
        <v>0</v>
      </c>
      <c r="I320" s="220" t="n">
        <v>0</v>
      </c>
    </row>
    <row r="321" ht="28" customHeight="1" s="132">
      <c r="A321" s="220" t="inlineStr">
        <is>
          <t>A310</t>
        </is>
      </c>
      <c r="B321" s="220" t="inlineStr">
        <is>
          <t>LCC-2504291</t>
        </is>
      </c>
      <c r="C321" s="237" t="n">
        <v>45876</v>
      </c>
      <c r="D321" s="220" t="n">
        <v>447</v>
      </c>
      <c r="E321" s="220" t="n">
        <v>67.05</v>
      </c>
      <c r="F321" s="220" t="n">
        <v>379.95</v>
      </c>
      <c r="G321" s="220" t="n">
        <v>0</v>
      </c>
      <c r="H321" s="220" t="n">
        <v>0</v>
      </c>
      <c r="I321" s="220" t="n">
        <v>0</v>
      </c>
    </row>
    <row r="322" ht="28" customHeight="1" s="132">
      <c r="A322" s="220" t="inlineStr">
        <is>
          <t>A311</t>
        </is>
      </c>
      <c r="B322" s="220" t="inlineStr">
        <is>
          <t>LCP-2504292</t>
        </is>
      </c>
      <c r="C322" s="237" t="n">
        <v>45876</v>
      </c>
      <c r="D322" s="220" t="n">
        <v>250</v>
      </c>
      <c r="E322" s="220" t="n">
        <v>37.5</v>
      </c>
      <c r="F322" s="220" t="n">
        <v>212.5</v>
      </c>
      <c r="G322" s="220" t="n">
        <v>0</v>
      </c>
      <c r="H322" s="220" t="n">
        <v>0</v>
      </c>
      <c r="I322" s="220" t="n">
        <v>0</v>
      </c>
    </row>
    <row r="323" ht="28" customHeight="1" s="132">
      <c r="A323" s="220" t="inlineStr">
        <is>
          <t>A312</t>
        </is>
      </c>
      <c r="B323" s="220" t="inlineStr">
        <is>
          <t>LCC-2504294</t>
        </is>
      </c>
      <c r="C323" s="237" t="n">
        <v>45876</v>
      </c>
      <c r="D323" s="220" t="n">
        <v>210</v>
      </c>
      <c r="E323" s="220" t="n">
        <v>31.5</v>
      </c>
      <c r="F323" s="220" t="n">
        <v>178.5</v>
      </c>
      <c r="G323" s="220" t="n">
        <v>0</v>
      </c>
      <c r="H323" s="220" t="n">
        <v>0</v>
      </c>
      <c r="I323" s="220" t="n">
        <v>0</v>
      </c>
    </row>
    <row r="324" ht="28" customHeight="1" s="132">
      <c r="A324" s="220" t="inlineStr">
        <is>
          <t>A313</t>
        </is>
      </c>
      <c r="B324" s="220" t="inlineStr">
        <is>
          <t>LCC-2504295</t>
        </is>
      </c>
      <c r="C324" s="237" t="n">
        <v>45877</v>
      </c>
      <c r="D324" s="220" t="n">
        <v>210</v>
      </c>
      <c r="E324" s="220" t="n">
        <v>31.5</v>
      </c>
      <c r="F324" s="220" t="n">
        <v>178.5</v>
      </c>
      <c r="G324" s="220" t="n">
        <v>0</v>
      </c>
      <c r="H324" s="220" t="n">
        <v>0</v>
      </c>
      <c r="I324" s="220" t="n">
        <v>0</v>
      </c>
    </row>
    <row r="325" ht="28" customHeight="1" s="132">
      <c r="A325" s="220" t="inlineStr">
        <is>
          <t>A314</t>
        </is>
      </c>
      <c r="B325" s="220" t="inlineStr">
        <is>
          <t>LCC-2504296</t>
        </is>
      </c>
      <c r="C325" s="237" t="n">
        <v>45880</v>
      </c>
      <c r="D325" s="220" t="n">
        <v>210</v>
      </c>
      <c r="E325" s="220" t="n">
        <v>31.5</v>
      </c>
      <c r="F325" s="220" t="n">
        <v>178.5</v>
      </c>
      <c r="G325" s="220" t="n">
        <v>0</v>
      </c>
      <c r="H325" s="220" t="n">
        <v>0</v>
      </c>
      <c r="I325" s="220" t="n">
        <v>0</v>
      </c>
    </row>
    <row r="326" ht="28" customHeight="1" s="132">
      <c r="A326" s="220" t="inlineStr">
        <is>
          <t>A315</t>
        </is>
      </c>
      <c r="B326" s="220" t="inlineStr">
        <is>
          <t>LCP-2504297</t>
        </is>
      </c>
      <c r="C326" s="237" t="n">
        <v>45881</v>
      </c>
      <c r="D326" s="220" t="n">
        <v>250</v>
      </c>
      <c r="E326" s="220" t="n">
        <v>37.5</v>
      </c>
      <c r="F326" s="220" t="n">
        <v>212.5</v>
      </c>
      <c r="G326" s="220" t="n">
        <v>0</v>
      </c>
      <c r="H326" s="220" t="n">
        <v>0</v>
      </c>
      <c r="I326" s="220" t="n">
        <v>0</v>
      </c>
    </row>
    <row r="327" ht="28" customHeight="1" s="132">
      <c r="A327" s="220" t="inlineStr">
        <is>
          <t>A316</t>
        </is>
      </c>
      <c r="B327" s="220" t="inlineStr">
        <is>
          <t>LCP-2504298</t>
        </is>
      </c>
      <c r="C327" s="237" t="n">
        <v>45882</v>
      </c>
      <c r="D327" s="220" t="n">
        <v>250</v>
      </c>
      <c r="E327" s="220" t="n">
        <v>37.5</v>
      </c>
      <c r="F327" s="220" t="n">
        <v>212.5</v>
      </c>
      <c r="G327" s="220" t="n">
        <v>0</v>
      </c>
      <c r="H327" s="220" t="n">
        <v>0</v>
      </c>
      <c r="I327" s="220" t="n">
        <v>0</v>
      </c>
    </row>
    <row r="328" ht="28" customHeight="1" s="132">
      <c r="A328" s="220" t="inlineStr">
        <is>
          <t>A317</t>
        </is>
      </c>
      <c r="B328" s="220" t="inlineStr">
        <is>
          <t>LCP-2504299</t>
        </is>
      </c>
      <c r="C328" s="237" t="n">
        <v>45882</v>
      </c>
      <c r="D328" s="220" t="n">
        <v>250</v>
      </c>
      <c r="E328" s="220" t="n">
        <v>37.5</v>
      </c>
      <c r="F328" s="220" t="n">
        <v>212.5</v>
      </c>
      <c r="G328" s="220" t="n">
        <v>0</v>
      </c>
      <c r="H328" s="220" t="n">
        <v>0</v>
      </c>
      <c r="I328" s="220" t="n">
        <v>0</v>
      </c>
    </row>
    <row r="329" ht="28" customHeight="1" s="132">
      <c r="A329" s="220" t="inlineStr">
        <is>
          <t>A318</t>
        </is>
      </c>
      <c r="B329" s="220" t="inlineStr">
        <is>
          <t>LCP-2504301</t>
        </is>
      </c>
      <c r="C329" s="237" t="n">
        <v>45883</v>
      </c>
      <c r="D329" s="220" t="n">
        <v>250</v>
      </c>
      <c r="E329" s="220" t="n">
        <v>37.5</v>
      </c>
      <c r="F329" s="220" t="n">
        <v>212.5</v>
      </c>
      <c r="G329" s="220" t="n">
        <v>0</v>
      </c>
      <c r="H329" s="220" t="n">
        <v>0</v>
      </c>
      <c r="I329" s="220" t="n">
        <v>0</v>
      </c>
    </row>
    <row r="330" ht="28" customHeight="1" s="132">
      <c r="A330" s="220" t="inlineStr">
        <is>
          <t>A319</t>
        </is>
      </c>
      <c r="B330" s="220" t="inlineStr">
        <is>
          <t>LCC-2504132</t>
        </is>
      </c>
      <c r="C330" s="237" t="n">
        <v>45883</v>
      </c>
      <c r="D330" s="220" t="n">
        <v>400</v>
      </c>
      <c r="E330" s="220" t="n">
        <v>60</v>
      </c>
      <c r="F330" s="220" t="n">
        <v>340</v>
      </c>
      <c r="G330" s="220" t="n">
        <v>0</v>
      </c>
      <c r="H330" s="220" t="n">
        <v>0</v>
      </c>
      <c r="I330" s="220" t="n">
        <v>0</v>
      </c>
    </row>
    <row r="331" ht="28" customHeight="1" s="132">
      <c r="A331" s="220" t="inlineStr">
        <is>
          <t>A320</t>
        </is>
      </c>
      <c r="B331" s="220" t="inlineStr">
        <is>
          <t>LCP-2504300</t>
        </is>
      </c>
      <c r="C331" s="237" t="n">
        <v>45883</v>
      </c>
      <c r="D331" s="220" t="n">
        <v>250</v>
      </c>
      <c r="E331" s="220" t="n">
        <v>37.5</v>
      </c>
      <c r="F331" s="220" t="n">
        <v>212.5</v>
      </c>
      <c r="G331" s="220" t="n">
        <v>0</v>
      </c>
      <c r="H331" s="220" t="n">
        <v>0</v>
      </c>
      <c r="I331" s="220" t="n">
        <v>0</v>
      </c>
    </row>
    <row r="332" ht="28" customHeight="1" s="132">
      <c r="A332" s="220" t="inlineStr">
        <is>
          <t>A321</t>
        </is>
      </c>
      <c r="B332" s="220" t="inlineStr">
        <is>
          <t>LCC-2504302</t>
        </is>
      </c>
      <c r="C332" s="237" t="n">
        <v>45884</v>
      </c>
      <c r="D332" s="220" t="n">
        <v>210</v>
      </c>
      <c r="E332" s="220" t="n">
        <v>31.5</v>
      </c>
      <c r="F332" s="220" t="n">
        <v>178.5</v>
      </c>
      <c r="G332" s="220" t="n">
        <v>0</v>
      </c>
      <c r="H332" s="220" t="n">
        <v>0</v>
      </c>
      <c r="I332" s="220" t="n">
        <v>0</v>
      </c>
    </row>
    <row r="333" ht="28" customHeight="1" s="132">
      <c r="A333" s="220" t="inlineStr">
        <is>
          <t>A322</t>
        </is>
      </c>
      <c r="B333" s="220" t="inlineStr">
        <is>
          <t>LCC-2504303</t>
        </is>
      </c>
      <c r="C333" s="237" t="n">
        <v>45884</v>
      </c>
      <c r="D333" s="220" t="n">
        <v>210</v>
      </c>
      <c r="E333" s="220" t="n">
        <v>31.5</v>
      </c>
      <c r="F333" s="220" t="n">
        <v>178.5</v>
      </c>
      <c r="G333" s="220" t="n">
        <v>0</v>
      </c>
      <c r="H333" s="220" t="n">
        <v>0</v>
      </c>
      <c r="I333" s="220" t="n">
        <v>0</v>
      </c>
    </row>
    <row r="334" ht="28" customHeight="1" s="132">
      <c r="A334" s="220" t="inlineStr">
        <is>
          <t>A323</t>
        </is>
      </c>
      <c r="B334" s="220" t="inlineStr">
        <is>
          <t>LCC-2504306</t>
        </is>
      </c>
      <c r="C334" s="237" t="n">
        <v>45887</v>
      </c>
      <c r="D334" s="220" t="n">
        <v>250</v>
      </c>
      <c r="E334" s="220" t="n">
        <v>37.5</v>
      </c>
      <c r="F334" s="220" t="n">
        <v>212.5</v>
      </c>
      <c r="G334" s="220" t="n">
        <v>0</v>
      </c>
      <c r="H334" s="220" t="n">
        <v>0</v>
      </c>
      <c r="I334" s="220" t="n">
        <v>0</v>
      </c>
    </row>
    <row r="335" ht="28" customHeight="1" s="132">
      <c r="A335" s="220" t="inlineStr">
        <is>
          <t>A324</t>
        </is>
      </c>
      <c r="B335" s="220" t="inlineStr">
        <is>
          <t>LCC-2504304</t>
        </is>
      </c>
      <c r="C335" s="237" t="n">
        <v>45887</v>
      </c>
      <c r="D335" s="220" t="n">
        <v>210</v>
      </c>
      <c r="E335" s="220" t="n">
        <v>31.5</v>
      </c>
      <c r="F335" s="220" t="n">
        <v>178.5</v>
      </c>
      <c r="G335" s="220" t="n">
        <v>0</v>
      </c>
      <c r="H335" s="220" t="n">
        <v>0</v>
      </c>
      <c r="I335" s="220" t="n">
        <v>0</v>
      </c>
    </row>
    <row r="336" ht="28" customHeight="1" s="132">
      <c r="A336" s="220" t="inlineStr">
        <is>
          <t>A325</t>
        </is>
      </c>
      <c r="B336" s="220" t="inlineStr">
        <is>
          <t>LCC-2504308</t>
        </is>
      </c>
      <c r="C336" s="237" t="n">
        <v>45888</v>
      </c>
      <c r="D336" s="220" t="n">
        <v>500</v>
      </c>
      <c r="E336" s="220" t="n">
        <v>75</v>
      </c>
      <c r="F336" s="220" t="n">
        <v>425</v>
      </c>
      <c r="G336" s="220" t="n">
        <v>0</v>
      </c>
      <c r="H336" s="220" t="n">
        <v>0</v>
      </c>
      <c r="I336" s="220" t="n">
        <v>0</v>
      </c>
    </row>
    <row r="337" ht="28" customHeight="1" s="132">
      <c r="A337" s="220" t="inlineStr">
        <is>
          <t>A326</t>
        </is>
      </c>
      <c r="B337" s="220" t="inlineStr">
        <is>
          <t>LCC-2504307</t>
        </is>
      </c>
      <c r="C337" s="237" t="n">
        <v>45888</v>
      </c>
      <c r="D337" s="220" t="n">
        <v>500</v>
      </c>
      <c r="E337" s="220" t="n">
        <v>75</v>
      </c>
      <c r="F337" s="220" t="n">
        <v>425</v>
      </c>
      <c r="G337" s="220" t="n">
        <v>0</v>
      </c>
      <c r="H337" s="220" t="n">
        <v>0</v>
      </c>
      <c r="I337" s="220" t="n">
        <v>0</v>
      </c>
    </row>
    <row r="338" ht="28" customHeight="1" s="132">
      <c r="A338" s="220" t="inlineStr">
        <is>
          <t>A327</t>
        </is>
      </c>
      <c r="B338" s="220" t="inlineStr">
        <is>
          <t>LCC-2504309</t>
        </is>
      </c>
      <c r="C338" s="237" t="n">
        <v>45889</v>
      </c>
      <c r="D338" s="220" t="n">
        <v>210</v>
      </c>
      <c r="E338" s="220" t="n">
        <v>31.5</v>
      </c>
      <c r="F338" s="220" t="n">
        <v>178.5</v>
      </c>
      <c r="G338" s="220" t="n">
        <v>0</v>
      </c>
      <c r="H338" s="220" t="n">
        <v>0</v>
      </c>
      <c r="I338" s="220" t="n">
        <v>0</v>
      </c>
    </row>
    <row r="339" ht="28" customHeight="1" s="132">
      <c r="A339" s="220" t="inlineStr">
        <is>
          <t>A328</t>
        </is>
      </c>
      <c r="B339" s="220" t="inlineStr">
        <is>
          <t>LCC-2504310</t>
        </is>
      </c>
      <c r="C339" s="237" t="n">
        <v>45889</v>
      </c>
      <c r="D339" s="220" t="n">
        <v>210</v>
      </c>
      <c r="E339" s="220" t="n">
        <v>31.5</v>
      </c>
      <c r="F339" s="220" t="n">
        <v>178.5</v>
      </c>
      <c r="G339" s="220" t="n">
        <v>0</v>
      </c>
      <c r="H339" s="220" t="n">
        <v>0</v>
      </c>
      <c r="I339" s="220" t="n">
        <v>0</v>
      </c>
    </row>
    <row r="340" ht="28" customHeight="1" s="132">
      <c r="A340" s="220" t="inlineStr">
        <is>
          <t>A329</t>
        </is>
      </c>
      <c r="B340" s="220" t="inlineStr">
        <is>
          <t>LCC-2504311</t>
        </is>
      </c>
      <c r="C340" s="237" t="n">
        <v>45890</v>
      </c>
      <c r="D340" s="220" t="n">
        <v>1680.01</v>
      </c>
      <c r="E340" s="220" t="n">
        <v>0</v>
      </c>
      <c r="F340" s="220" t="n">
        <v>1680.01</v>
      </c>
      <c r="G340" s="220" t="n">
        <v>0</v>
      </c>
      <c r="H340" s="220" t="n">
        <v>0</v>
      </c>
      <c r="I340" s="220" t="n">
        <v>0</v>
      </c>
    </row>
    <row r="341" ht="28" customHeight="1" s="132">
      <c r="A341" s="220" t="inlineStr">
        <is>
          <t>A330</t>
        </is>
      </c>
      <c r="B341" s="220" t="inlineStr">
        <is>
          <t>LCC-2504313</t>
        </is>
      </c>
      <c r="C341" s="237" t="n">
        <v>45895</v>
      </c>
      <c r="D341" s="220" t="n">
        <v>210</v>
      </c>
      <c r="E341" s="220" t="n">
        <v>31.5</v>
      </c>
      <c r="F341" s="220" t="n">
        <v>178.5</v>
      </c>
      <c r="G341" s="220" t="n">
        <v>0</v>
      </c>
      <c r="H341" s="220" t="n">
        <v>0</v>
      </c>
      <c r="I341" s="220" t="n">
        <v>0</v>
      </c>
    </row>
    <row r="342" ht="28" customHeight="1" s="132">
      <c r="A342" s="220" t="inlineStr">
        <is>
          <t>A331</t>
        </is>
      </c>
      <c r="B342" s="220" t="inlineStr">
        <is>
          <t>LCC-2504316</t>
        </is>
      </c>
      <c r="C342" s="237" t="n">
        <v>45896</v>
      </c>
      <c r="D342" s="220" t="n">
        <v>210</v>
      </c>
      <c r="E342" s="220" t="n">
        <v>31.5</v>
      </c>
      <c r="F342" s="220" t="n">
        <v>178.5</v>
      </c>
      <c r="G342" s="220" t="n">
        <v>0</v>
      </c>
      <c r="H342" s="220" t="n">
        <v>0</v>
      </c>
      <c r="I342" s="220" t="n">
        <v>0</v>
      </c>
    </row>
    <row r="343" ht="28" customHeight="1" s="132">
      <c r="A343" s="220" t="inlineStr">
        <is>
          <t>A332</t>
        </is>
      </c>
      <c r="B343" s="220" t="inlineStr">
        <is>
          <t>LCC-2504312</t>
        </is>
      </c>
      <c r="C343" s="237" t="n">
        <v>45896</v>
      </c>
      <c r="D343" s="220" t="n">
        <v>50</v>
      </c>
      <c r="E343" s="220" t="n">
        <v>7.5</v>
      </c>
      <c r="F343" s="220" t="n">
        <v>42.5</v>
      </c>
      <c r="G343" s="220" t="n">
        <v>0</v>
      </c>
      <c r="H343" s="220" t="n">
        <v>0</v>
      </c>
      <c r="I343" s="220" t="n">
        <v>0</v>
      </c>
    </row>
    <row r="344" ht="28" customHeight="1" s="132">
      <c r="A344" s="220" t="inlineStr">
        <is>
          <t>A333</t>
        </is>
      </c>
      <c r="B344" s="220" t="inlineStr">
        <is>
          <t>LCC-2504317</t>
        </is>
      </c>
      <c r="C344" s="237" t="n">
        <v>45896</v>
      </c>
      <c r="D344" s="220" t="n">
        <v>5729</v>
      </c>
      <c r="E344" s="220" t="n">
        <v>859.35</v>
      </c>
      <c r="F344" s="220" t="n">
        <v>4869.65</v>
      </c>
      <c r="G344" s="220" t="n">
        <v>0</v>
      </c>
      <c r="H344" s="220" t="n">
        <v>0</v>
      </c>
      <c r="I344" s="220" t="n">
        <v>0</v>
      </c>
    </row>
    <row r="345" ht="28" customHeight="1" s="132">
      <c r="A345" s="220" t="inlineStr">
        <is>
          <t>A334</t>
        </is>
      </c>
      <c r="B345" s="220" t="inlineStr">
        <is>
          <t>LCC-2504315</t>
        </is>
      </c>
      <c r="C345" s="237" t="n">
        <v>45896</v>
      </c>
      <c r="D345" s="220" t="n">
        <v>210</v>
      </c>
      <c r="E345" s="220" t="n">
        <v>31.5</v>
      </c>
      <c r="F345" s="220" t="n">
        <v>178.5</v>
      </c>
      <c r="G345" s="220" t="n">
        <v>0</v>
      </c>
      <c r="H345" s="220" t="n">
        <v>0</v>
      </c>
      <c r="I345" s="220" t="n">
        <v>0</v>
      </c>
    </row>
    <row r="346" ht="28" customHeight="1" s="132">
      <c r="A346" s="220" t="inlineStr">
        <is>
          <t>A335</t>
        </is>
      </c>
      <c r="B346" s="220" t="inlineStr">
        <is>
          <t>LCC-2504318</t>
        </is>
      </c>
      <c r="C346" s="237" t="n">
        <v>45896</v>
      </c>
      <c r="D346" s="220" t="n">
        <v>210</v>
      </c>
      <c r="E346" s="220" t="n">
        <v>31.5</v>
      </c>
      <c r="F346" s="220" t="n">
        <v>178.5</v>
      </c>
      <c r="G346" s="220" t="n">
        <v>0</v>
      </c>
      <c r="H346" s="220" t="n">
        <v>0</v>
      </c>
      <c r="I346" s="220" t="n">
        <v>0</v>
      </c>
    </row>
    <row r="347" ht="28" customHeight="1" s="132">
      <c r="A347" s="220" t="inlineStr">
        <is>
          <t>A336</t>
        </is>
      </c>
      <c r="B347" s="220" t="inlineStr">
        <is>
          <t>LCC-2504314</t>
        </is>
      </c>
      <c r="C347" s="237" t="n">
        <v>45896</v>
      </c>
      <c r="D347" s="220" t="n">
        <v>492</v>
      </c>
      <c r="E347" s="220" t="n">
        <v>0</v>
      </c>
      <c r="F347" s="220" t="n">
        <v>492</v>
      </c>
      <c r="G347" s="220" t="n">
        <v>0</v>
      </c>
      <c r="H347" s="220" t="n">
        <v>0</v>
      </c>
      <c r="I347" s="220" t="n">
        <v>0</v>
      </c>
    </row>
    <row r="348" ht="28" customHeight="1" s="132">
      <c r="A348" s="220" t="inlineStr">
        <is>
          <t>A337</t>
        </is>
      </c>
      <c r="B348" s="220" t="inlineStr">
        <is>
          <t>LCC-2504319</t>
        </is>
      </c>
      <c r="C348" s="237" t="n">
        <v>45897</v>
      </c>
      <c r="D348" s="220" t="n">
        <v>400</v>
      </c>
      <c r="E348" s="220" t="n">
        <v>60</v>
      </c>
      <c r="F348" s="220" t="n">
        <v>340</v>
      </c>
      <c r="G348" s="220" t="n">
        <v>0</v>
      </c>
      <c r="H348" s="220" t="n">
        <v>0</v>
      </c>
      <c r="I348" s="220" t="n">
        <v>0</v>
      </c>
    </row>
    <row r="349" ht="28" customHeight="1" s="132">
      <c r="A349" s="220" t="inlineStr">
        <is>
          <t>A338</t>
        </is>
      </c>
      <c r="B349" s="220" t="inlineStr">
        <is>
          <t>LCC-2504144</t>
        </is>
      </c>
      <c r="C349" s="237" t="n">
        <v>45901</v>
      </c>
      <c r="D349" s="220" t="n">
        <v>200</v>
      </c>
      <c r="E349" s="220" t="n">
        <v>30</v>
      </c>
      <c r="F349" s="220" t="n">
        <v>170</v>
      </c>
      <c r="G349" s="220" t="n">
        <v>0</v>
      </c>
      <c r="H349" s="220" t="n">
        <v>0</v>
      </c>
      <c r="I349" s="220" t="n">
        <v>0</v>
      </c>
    </row>
    <row r="350" ht="28" customHeight="1" s="132">
      <c r="A350" s="220" t="inlineStr">
        <is>
          <t>A339</t>
        </is>
      </c>
      <c r="B350" s="220" t="inlineStr">
        <is>
          <t>LCC-2504321</t>
        </is>
      </c>
      <c r="C350" s="237" t="n">
        <v>45901</v>
      </c>
      <c r="D350" s="220" t="n">
        <v>9610.1</v>
      </c>
      <c r="E350" s="220" t="n">
        <v>1441.52</v>
      </c>
      <c r="F350" s="220" t="n">
        <v>8168.58</v>
      </c>
      <c r="G350" s="220" t="n">
        <v>0</v>
      </c>
      <c r="H350" s="220" t="n">
        <v>0</v>
      </c>
      <c r="I350" s="220" t="n">
        <v>0</v>
      </c>
    </row>
    <row r="351" ht="28" customHeight="1" s="132">
      <c r="A351" s="220" t="inlineStr">
        <is>
          <t>A340</t>
        </is>
      </c>
      <c r="B351" s="220" t="inlineStr">
        <is>
          <t>LCP-2504322</t>
        </is>
      </c>
      <c r="C351" s="237" t="n">
        <v>45901</v>
      </c>
      <c r="D351" s="220" t="n">
        <v>250</v>
      </c>
      <c r="E351" s="220" t="n">
        <v>37.5</v>
      </c>
      <c r="F351" s="220" t="n">
        <v>212.5</v>
      </c>
      <c r="G351" s="220" t="n">
        <v>0</v>
      </c>
      <c r="H351" s="220" t="n">
        <v>0</v>
      </c>
      <c r="I351" s="220" t="n">
        <v>0</v>
      </c>
    </row>
    <row r="352" ht="28" customHeight="1" s="132">
      <c r="A352" s="220" t="inlineStr">
        <is>
          <t>A341</t>
        </is>
      </c>
      <c r="B352" s="220" t="inlineStr">
        <is>
          <t>LCC-2504324</t>
        </is>
      </c>
      <c r="C352" s="237" t="n">
        <v>45902</v>
      </c>
      <c r="D352" s="220" t="n">
        <v>686</v>
      </c>
      <c r="E352" s="220" t="n">
        <v>102.9</v>
      </c>
      <c r="F352" s="220" t="n">
        <v>583.1</v>
      </c>
      <c r="G352" s="220" t="n">
        <v>0</v>
      </c>
      <c r="H352" s="220" t="n">
        <v>0</v>
      </c>
      <c r="I352" s="220" t="n">
        <v>0</v>
      </c>
    </row>
    <row r="353" ht="28" customHeight="1" s="132">
      <c r="A353" s="220" t="inlineStr">
        <is>
          <t>A342</t>
        </is>
      </c>
      <c r="B353" s="220" t="inlineStr">
        <is>
          <t>LCC-2504326</t>
        </is>
      </c>
      <c r="C353" s="237" t="n">
        <v>45903</v>
      </c>
      <c r="D353" s="220" t="n">
        <v>27734</v>
      </c>
      <c r="E353" s="220" t="n">
        <v>4160.1</v>
      </c>
      <c r="F353" s="220" t="n">
        <v>23573.9</v>
      </c>
      <c r="G353" s="220" t="n">
        <v>0</v>
      </c>
      <c r="H353" s="220" t="n">
        <v>0</v>
      </c>
      <c r="I353" s="220" t="n">
        <v>0</v>
      </c>
    </row>
    <row r="354" ht="28" customHeight="1" s="132">
      <c r="A354" s="220" t="inlineStr">
        <is>
          <t>A343</t>
        </is>
      </c>
      <c r="B354" s="220" t="inlineStr">
        <is>
          <t>LCC-2504328</t>
        </is>
      </c>
      <c r="C354" s="237" t="n">
        <v>45903</v>
      </c>
      <c r="D354" s="220" t="n">
        <v>5831</v>
      </c>
      <c r="E354" s="220" t="n">
        <v>874.65</v>
      </c>
      <c r="F354" s="220" t="n">
        <v>4956.35</v>
      </c>
      <c r="G354" s="220" t="n">
        <v>0</v>
      </c>
      <c r="H354" s="220" t="n">
        <v>0</v>
      </c>
      <c r="I354" s="220" t="n">
        <v>0</v>
      </c>
    </row>
    <row r="355" ht="28" customHeight="1" s="132">
      <c r="A355" s="220" t="inlineStr">
        <is>
          <t>A344</t>
        </is>
      </c>
      <c r="B355" s="220" t="inlineStr">
        <is>
          <t>LCC-2504325</t>
        </is>
      </c>
      <c r="C355" s="237" t="n">
        <v>45903</v>
      </c>
      <c r="D355" s="220" t="n">
        <v>300</v>
      </c>
      <c r="E355" s="220" t="n">
        <v>45</v>
      </c>
      <c r="F355" s="220" t="n">
        <v>255</v>
      </c>
      <c r="G355" s="220" t="n">
        <v>0</v>
      </c>
      <c r="H355" s="220" t="n">
        <v>0</v>
      </c>
      <c r="I355" s="220" t="n">
        <v>0</v>
      </c>
    </row>
    <row r="356" ht="28" customHeight="1" s="132">
      <c r="A356" s="220" t="inlineStr">
        <is>
          <t>A345</t>
        </is>
      </c>
      <c r="B356" s="220" t="inlineStr">
        <is>
          <t>LCC-2504329</t>
        </is>
      </c>
      <c r="C356" s="237" t="n">
        <v>45911</v>
      </c>
      <c r="D356" s="220" t="n">
        <v>1463</v>
      </c>
      <c r="E356" s="220" t="n">
        <v>219.45</v>
      </c>
      <c r="F356" s="220" t="n">
        <v>1243.55</v>
      </c>
      <c r="G356" s="220" t="n">
        <v>0</v>
      </c>
      <c r="H356" s="220" t="n">
        <v>0</v>
      </c>
      <c r="I356" s="220" t="n">
        <v>0</v>
      </c>
    </row>
    <row r="357" ht="28" customHeight="1" s="132">
      <c r="A357" s="220" t="inlineStr">
        <is>
          <t>A346</t>
        </is>
      </c>
      <c r="B357" s="220" t="inlineStr">
        <is>
          <t>LCC-2504332</t>
        </is>
      </c>
      <c r="C357" s="237" t="n">
        <v>45912</v>
      </c>
      <c r="D357" s="220" t="n">
        <v>431</v>
      </c>
      <c r="E357" s="220" t="n">
        <v>64.65000000000001</v>
      </c>
      <c r="F357" s="220" t="n">
        <v>366.35</v>
      </c>
      <c r="G357" s="220" t="n">
        <v>0</v>
      </c>
      <c r="H357" s="220" t="n">
        <v>0</v>
      </c>
      <c r="I357" s="220" t="n">
        <v>0</v>
      </c>
    </row>
    <row r="358" ht="28" customHeight="1" s="132">
      <c r="A358" s="220" t="inlineStr">
        <is>
          <t>A347</t>
        </is>
      </c>
      <c r="B358" s="220" t="inlineStr">
        <is>
          <t>LCC-2504330</t>
        </is>
      </c>
      <c r="C358" s="237" t="n">
        <v>45912</v>
      </c>
      <c r="D358" s="220" t="n">
        <v>210</v>
      </c>
      <c r="E358" s="220" t="n">
        <v>31.5</v>
      </c>
      <c r="F358" s="220" t="n">
        <v>178.5</v>
      </c>
      <c r="G358" s="220" t="n">
        <v>0</v>
      </c>
      <c r="H358" s="220" t="n">
        <v>0</v>
      </c>
      <c r="I358" s="220" t="n">
        <v>0</v>
      </c>
    </row>
    <row r="359" ht="28" customHeight="1" s="132">
      <c r="A359" s="220" t="inlineStr">
        <is>
          <t>A348</t>
        </is>
      </c>
      <c r="B359" s="220" t="inlineStr">
        <is>
          <t>LCC-2504331</t>
        </is>
      </c>
      <c r="C359" s="237" t="n">
        <v>45912</v>
      </c>
      <c r="D359" s="220" t="n">
        <v>210</v>
      </c>
      <c r="E359" s="220" t="n">
        <v>31.5</v>
      </c>
      <c r="F359" s="220" t="n">
        <v>178.5</v>
      </c>
      <c r="G359" s="220" t="n">
        <v>0</v>
      </c>
      <c r="H359" s="220" t="n">
        <v>0</v>
      </c>
      <c r="I359" s="220" t="n">
        <v>0</v>
      </c>
    </row>
    <row r="360" ht="28" customHeight="1" s="132">
      <c r="A360" s="220" t="inlineStr">
        <is>
          <t>A349</t>
        </is>
      </c>
      <c r="B360" s="220" t="inlineStr">
        <is>
          <t>LCC-2504334</t>
        </is>
      </c>
      <c r="C360" s="237" t="n">
        <v>45916</v>
      </c>
      <c r="D360" s="220" t="n">
        <v>210</v>
      </c>
      <c r="E360" s="220" t="n">
        <v>31.5</v>
      </c>
      <c r="F360" s="220" t="n">
        <v>178.5</v>
      </c>
      <c r="G360" s="220" t="n">
        <v>0</v>
      </c>
      <c r="H360" s="220" t="n">
        <v>0</v>
      </c>
      <c r="I360" s="220" t="n">
        <v>0</v>
      </c>
    </row>
    <row r="361" ht="28" customHeight="1" s="132">
      <c r="A361" s="220" t="inlineStr">
        <is>
          <t>A350</t>
        </is>
      </c>
      <c r="B361" s="220" t="inlineStr">
        <is>
          <t>LCC-2504335</t>
        </is>
      </c>
      <c r="C361" s="237" t="n">
        <v>45918</v>
      </c>
      <c r="D361" s="220" t="n">
        <v>4037.5</v>
      </c>
      <c r="E361" s="220" t="n">
        <v>605.62</v>
      </c>
      <c r="F361" s="220" t="n">
        <v>3431.88</v>
      </c>
      <c r="G361" s="220" t="n">
        <v>0</v>
      </c>
      <c r="H361" s="220" t="n">
        <v>0</v>
      </c>
      <c r="I361" s="220" t="n">
        <v>0</v>
      </c>
    </row>
    <row r="362" ht="28" customHeight="1" s="132">
      <c r="A362" s="220" t="inlineStr">
        <is>
          <t>A351</t>
        </is>
      </c>
      <c r="B362" s="220" t="inlineStr">
        <is>
          <t>LCC-2504337</t>
        </is>
      </c>
      <c r="C362" s="237" t="n">
        <v>45918</v>
      </c>
      <c r="D362" s="220" t="n">
        <v>210</v>
      </c>
      <c r="E362" s="220" t="n">
        <v>31.5</v>
      </c>
      <c r="F362" s="220" t="n">
        <v>178.5</v>
      </c>
      <c r="G362" s="220" t="n">
        <v>0</v>
      </c>
      <c r="H362" s="220" t="n">
        <v>0</v>
      </c>
      <c r="I362" s="220" t="n">
        <v>0</v>
      </c>
    </row>
    <row r="363" ht="28" customHeight="1" s="132">
      <c r="A363" s="220" t="inlineStr">
        <is>
          <t>A352</t>
        </is>
      </c>
      <c r="B363" s="220" t="inlineStr">
        <is>
          <t>LCC-2504336</t>
        </is>
      </c>
      <c r="C363" s="237" t="n">
        <v>45918</v>
      </c>
      <c r="D363" s="220" t="n">
        <v>210</v>
      </c>
      <c r="E363" s="220" t="n">
        <v>31.5</v>
      </c>
      <c r="F363" s="220" t="n">
        <v>178.5</v>
      </c>
      <c r="G363" s="220" t="n">
        <v>0</v>
      </c>
      <c r="H363" s="220" t="n">
        <v>0</v>
      </c>
      <c r="I363" s="220" t="n">
        <v>0</v>
      </c>
    </row>
    <row r="364" ht="28" customHeight="1" s="132">
      <c r="A364" s="220" t="inlineStr">
        <is>
          <t>A353</t>
        </is>
      </c>
      <c r="B364" s="220" t="inlineStr">
        <is>
          <t>LCC-2504338</t>
        </is>
      </c>
      <c r="C364" s="237" t="n">
        <v>45919</v>
      </c>
      <c r="D364" s="220" t="n">
        <v>5006.25</v>
      </c>
      <c r="E364" s="220" t="n">
        <v>0</v>
      </c>
      <c r="F364" s="220" t="n">
        <v>5006.25</v>
      </c>
      <c r="G364" s="220" t="n">
        <v>0</v>
      </c>
      <c r="H364" s="220" t="n">
        <v>0</v>
      </c>
      <c r="I364" s="220" t="n">
        <v>0</v>
      </c>
    </row>
    <row r="365" ht="28" customHeight="1" s="132">
      <c r="A365" s="220" t="inlineStr">
        <is>
          <t>A354</t>
        </is>
      </c>
      <c r="B365" s="220" t="inlineStr">
        <is>
          <t>LCC-2504339</t>
        </is>
      </c>
      <c r="C365" s="237" t="n">
        <v>45919</v>
      </c>
      <c r="D365" s="220" t="n">
        <v>6011.2</v>
      </c>
      <c r="E365" s="220" t="n">
        <v>901.6799999999999</v>
      </c>
      <c r="F365" s="220" t="n">
        <v>5109.52</v>
      </c>
      <c r="G365" s="220" t="n">
        <v>0</v>
      </c>
      <c r="H365" s="220" t="n">
        <v>0</v>
      </c>
      <c r="I365" s="220" t="n">
        <v>0</v>
      </c>
    </row>
    <row r="366" ht="28" customHeight="1" s="132">
      <c r="A366" s="220" t="inlineStr">
        <is>
          <t>A355</t>
        </is>
      </c>
      <c r="B366" s="220" t="inlineStr">
        <is>
          <t>LCC-2504340</t>
        </is>
      </c>
      <c r="C366" s="237" t="n">
        <v>45922</v>
      </c>
      <c r="D366" s="220" t="n">
        <v>210</v>
      </c>
      <c r="E366" s="220" t="n">
        <v>31.5</v>
      </c>
      <c r="F366" s="220" t="n">
        <v>178.5</v>
      </c>
      <c r="G366" s="220" t="n">
        <v>0</v>
      </c>
      <c r="H366" s="220" t="n">
        <v>0</v>
      </c>
      <c r="I366" s="220" t="n">
        <v>0</v>
      </c>
    </row>
    <row r="367" ht="28" customHeight="1" s="132">
      <c r="A367" s="220" t="inlineStr">
        <is>
          <t>A356</t>
        </is>
      </c>
      <c r="B367" s="220" t="inlineStr">
        <is>
          <t>LCC-2504341</t>
        </is>
      </c>
      <c r="C367" s="237" t="n">
        <v>45923</v>
      </c>
      <c r="D367" s="220" t="n">
        <v>350</v>
      </c>
      <c r="E367" s="220" t="n">
        <v>52.5</v>
      </c>
      <c r="F367" s="220" t="n">
        <v>297.5</v>
      </c>
      <c r="G367" s="220" t="n">
        <v>0</v>
      </c>
      <c r="H367" s="220" t="n">
        <v>0</v>
      </c>
      <c r="I367" s="220" t="n">
        <v>0</v>
      </c>
    </row>
    <row r="368" ht="28" customHeight="1" s="132">
      <c r="A368" s="220" t="inlineStr">
        <is>
          <t>A357</t>
        </is>
      </c>
      <c r="B368" s="220" t="inlineStr">
        <is>
          <t>LCC-2504346</t>
        </is>
      </c>
      <c r="C368" s="237" t="n">
        <v>45924</v>
      </c>
      <c r="D368" s="220" t="n">
        <v>60915.02</v>
      </c>
      <c r="E368" s="220" t="n">
        <v>0</v>
      </c>
      <c r="F368" s="220" t="n">
        <v>60915.02</v>
      </c>
      <c r="G368" s="220" t="n">
        <v>0</v>
      </c>
      <c r="H368" s="220" t="n">
        <v>0</v>
      </c>
      <c r="I368" s="220" t="n">
        <v>0</v>
      </c>
    </row>
    <row r="369" ht="28" customHeight="1" s="132">
      <c r="A369" s="220" t="inlineStr">
        <is>
          <t>A358</t>
        </is>
      </c>
      <c r="B369" s="220" t="inlineStr">
        <is>
          <t>LCC-2504345</t>
        </is>
      </c>
      <c r="C369" s="237" t="n">
        <v>45924</v>
      </c>
      <c r="D369" s="220" t="n">
        <v>2918.07</v>
      </c>
      <c r="E369" s="220" t="n">
        <v>437.71</v>
      </c>
      <c r="F369" s="220" t="n">
        <v>2480.36</v>
      </c>
      <c r="G369" s="220" t="n">
        <v>0</v>
      </c>
      <c r="H369" s="220" t="n">
        <v>0</v>
      </c>
      <c r="I369" s="220" t="n">
        <v>0</v>
      </c>
    </row>
    <row r="370" ht="28" customHeight="1" s="132">
      <c r="A370" s="220" t="inlineStr">
        <is>
          <t>A359</t>
        </is>
      </c>
      <c r="B370" s="220" t="inlineStr">
        <is>
          <t>LCC-2503997</t>
        </is>
      </c>
      <c r="C370" s="237" t="n">
        <v>45926</v>
      </c>
      <c r="D370" s="220" t="n">
        <v>270</v>
      </c>
      <c r="E370" s="220" t="n">
        <v>0</v>
      </c>
      <c r="F370" s="220" t="n">
        <v>270</v>
      </c>
      <c r="G370" s="220" t="n">
        <v>0</v>
      </c>
      <c r="H370" s="220" t="n">
        <v>0</v>
      </c>
      <c r="I370" s="220" t="n">
        <v>0</v>
      </c>
    </row>
    <row r="371" ht="28" customHeight="1" s="132">
      <c r="A371" s="220" t="inlineStr">
        <is>
          <t>A360</t>
        </is>
      </c>
      <c r="B371" s="220" t="inlineStr">
        <is>
          <t>LCC-2504353</t>
        </is>
      </c>
      <c r="C371" s="237" t="n">
        <v>45926</v>
      </c>
      <c r="D371" s="220" t="n">
        <v>210</v>
      </c>
      <c r="E371" s="220" t="n">
        <v>31.5</v>
      </c>
      <c r="F371" s="220" t="n">
        <v>178.5</v>
      </c>
      <c r="G371" s="220" t="n">
        <v>0</v>
      </c>
      <c r="H371" s="220" t="n">
        <v>0</v>
      </c>
      <c r="I371" s="220" t="n">
        <v>0</v>
      </c>
    </row>
    <row r="372" ht="28" customHeight="1" s="132">
      <c r="A372" s="220" t="inlineStr">
        <is>
          <t>A361</t>
        </is>
      </c>
      <c r="B372" s="220" t="inlineStr">
        <is>
          <t>LCC-2504349</t>
        </is>
      </c>
      <c r="C372" s="237" t="n">
        <v>45926</v>
      </c>
      <c r="D372" s="220" t="n">
        <v>500</v>
      </c>
      <c r="E372" s="220" t="n">
        <v>75</v>
      </c>
      <c r="F372" s="220" t="n">
        <v>425</v>
      </c>
      <c r="G372" s="220" t="n">
        <v>0</v>
      </c>
      <c r="H372" s="220" t="n">
        <v>0</v>
      </c>
      <c r="I372" s="220" t="n">
        <v>0</v>
      </c>
    </row>
    <row r="373" ht="28" customHeight="1" s="132">
      <c r="A373" s="220" t="inlineStr">
        <is>
          <t>A362</t>
        </is>
      </c>
      <c r="B373" s="220" t="inlineStr">
        <is>
          <t>LCC-2504351</t>
        </is>
      </c>
      <c r="C373" s="237" t="n">
        <v>45926</v>
      </c>
      <c r="D373" s="220" t="n">
        <v>5800</v>
      </c>
      <c r="E373" s="220" t="n">
        <v>0</v>
      </c>
      <c r="F373" s="220" t="n">
        <v>5800</v>
      </c>
      <c r="G373" s="220" t="n">
        <v>0</v>
      </c>
      <c r="H373" s="220" t="n">
        <v>0</v>
      </c>
      <c r="I373" s="220" t="n">
        <v>0</v>
      </c>
    </row>
    <row r="374" ht="28" customHeight="1" s="132">
      <c r="A374" s="220" t="inlineStr">
        <is>
          <t>A363</t>
        </is>
      </c>
      <c r="B374" s="220" t="inlineStr">
        <is>
          <t>LCC-2504355</t>
        </is>
      </c>
      <c r="C374" s="237" t="n">
        <v>45926</v>
      </c>
      <c r="D374" s="220" t="n">
        <v>1200</v>
      </c>
      <c r="E374" s="220" t="n">
        <v>180</v>
      </c>
      <c r="F374" s="220" t="n">
        <v>1020</v>
      </c>
      <c r="G374" s="220" t="n">
        <v>0</v>
      </c>
      <c r="H374" s="220" t="n">
        <v>0</v>
      </c>
      <c r="I374" s="220" t="n">
        <v>0</v>
      </c>
    </row>
    <row r="375" ht="28" customHeight="1" s="132">
      <c r="A375" s="220" t="inlineStr">
        <is>
          <t>A364</t>
        </is>
      </c>
      <c r="B375" s="220" t="inlineStr">
        <is>
          <t>LCC-2504352</t>
        </is>
      </c>
      <c r="C375" s="237" t="n">
        <v>45926</v>
      </c>
      <c r="D375" s="220" t="n">
        <v>210</v>
      </c>
      <c r="E375" s="220" t="n">
        <v>31.5</v>
      </c>
      <c r="F375" s="220" t="n">
        <v>178.5</v>
      </c>
      <c r="G375" s="220" t="n">
        <v>0</v>
      </c>
      <c r="H375" s="220" t="n">
        <v>0</v>
      </c>
      <c r="I375" s="220" t="n">
        <v>0</v>
      </c>
    </row>
    <row r="376" ht="28" customHeight="1" s="132">
      <c r="A376" s="220" t="inlineStr">
        <is>
          <t>A365</t>
        </is>
      </c>
      <c r="B376" s="220" t="inlineStr">
        <is>
          <t>LCC-2504354</t>
        </is>
      </c>
      <c r="C376" s="237" t="n">
        <v>45926</v>
      </c>
      <c r="D376" s="220" t="n">
        <v>850</v>
      </c>
      <c r="E376" s="220" t="n">
        <v>127.5</v>
      </c>
      <c r="F376" s="220" t="n">
        <v>722.5</v>
      </c>
      <c r="G376" s="220" t="n">
        <v>0</v>
      </c>
      <c r="H376" s="220" t="n">
        <v>0</v>
      </c>
      <c r="I376" s="220" t="n">
        <v>0</v>
      </c>
    </row>
    <row r="377" ht="28" customHeight="1" s="132">
      <c r="A377" s="220" t="inlineStr">
        <is>
          <t>A366</t>
        </is>
      </c>
      <c r="B377" s="220" t="inlineStr">
        <is>
          <t>LCC-2504356</t>
        </is>
      </c>
      <c r="C377" s="237" t="n">
        <v>45930</v>
      </c>
      <c r="D377" s="220" t="n">
        <v>210</v>
      </c>
      <c r="E377" s="220" t="n">
        <v>31.5</v>
      </c>
      <c r="F377" s="220" t="n">
        <v>178.5</v>
      </c>
      <c r="G377" s="220" t="n">
        <v>0</v>
      </c>
      <c r="H377" s="220" t="n">
        <v>0</v>
      </c>
      <c r="I377" s="220" t="n">
        <v>0</v>
      </c>
    </row>
    <row r="378">
      <c r="A378" s="222" t="inlineStr">
        <is>
          <t>AA1</t>
        </is>
      </c>
      <c r="B378" s="222" t="inlineStr">
        <is>
          <t>Yekun BSH</t>
        </is>
      </c>
      <c r="C378" s="2" t="n"/>
      <c r="D378" s="222" t="n">
        <v>1344997.22</v>
      </c>
      <c r="E378" s="222" t="n">
        <v>175686.93</v>
      </c>
      <c r="F378" s="222" t="n">
        <v>1169310.29</v>
      </c>
      <c r="G378" s="222" t="n">
        <v>0</v>
      </c>
      <c r="H378" s="222" t="n">
        <v>0</v>
      </c>
      <c r="I378" s="222" t="n">
        <v>0</v>
      </c>
    </row>
    <row r="379">
      <c r="B379" s="18" t="inlineStr">
        <is>
          <t>Təkrarsığorta müqavilələri (təkrarsığortaya qəbul edilmiş risklər üzrə)</t>
        </is>
      </c>
      <c r="C379" s="18" t="inlineStr">
        <is>
          <t>Təkrarsığorta müqaviləsinin bağlandığı tarix</t>
        </is>
      </c>
      <c r="D379" s="17" t="inlineStr">
        <is>
          <t>Hesablanmış təkrarsığorta haqqı</t>
        </is>
      </c>
      <c r="E379" s="17" t="inlineStr">
        <is>
          <t>Komisyon muzdu (hesablanmış təkrarsığorta haqqının 15 %-dən çox olmamaqla)</t>
        </is>
      </c>
      <c r="F379" s="18" t="inlineStr">
        <is>
          <t>Baza təkrarsığorta haqqı (süt.2-süt.3)</t>
        </is>
      </c>
      <c r="G379" s="18" t="inlineStr">
        <is>
          <t>Hesablanmış təkrarsığorta haqqının katastrofik risk təminatına düşən hissəsi</t>
        </is>
      </c>
      <c r="H379" s="18" t="inlineStr">
        <is>
          <t>Katastrofik risk təminatı üzrə komisyon muzd (hesablanmış təkrarsığorta haqqının katastrofik risk təminatına düşən hissəsinin 15%-dən çox olmamaqla)</t>
        </is>
      </c>
      <c r="I379" s="18" t="inlineStr">
        <is>
          <t>Baza təkrarsığorta haqqının katastrofik risk təminatına düşən hissəsi (VI-VII)</t>
        </is>
      </c>
    </row>
    <row r="380">
      <c r="A380" t="inlineStr">
        <is>
          <t>B</t>
        </is>
      </c>
      <c r="B380" s="19" t="inlineStr">
        <is>
          <t>I</t>
        </is>
      </c>
      <c r="C380" s="19" t="inlineStr">
        <is>
          <t>II</t>
        </is>
      </c>
      <c r="D380" s="19" t="inlineStr">
        <is>
          <t>III</t>
        </is>
      </c>
      <c r="E380" s="19" t="inlineStr">
        <is>
          <t>IV</t>
        </is>
      </c>
      <c r="F380" s="19" t="inlineStr">
        <is>
          <t>V</t>
        </is>
      </c>
      <c r="G380" s="19" t="inlineStr">
        <is>
          <t>VI</t>
        </is>
      </c>
      <c r="H380" s="19" t="inlineStr">
        <is>
          <t>VII</t>
        </is>
      </c>
      <c r="I380" s="19" t="inlineStr">
        <is>
          <t>VIII</t>
        </is>
      </c>
    </row>
    <row r="381">
      <c r="A381" t="inlineStr">
        <is>
          <t>BB1</t>
        </is>
      </c>
      <c r="B381" s="141" t="inlineStr">
        <is>
          <t xml:space="preserve">Aralıq yekun </t>
        </is>
      </c>
      <c r="C381" s="3" t="n"/>
      <c r="D381" s="21" t="n">
        <v>0</v>
      </c>
      <c r="E381" s="21" t="n">
        <v>0</v>
      </c>
      <c r="F381" s="21" t="n">
        <v>0</v>
      </c>
      <c r="G381" s="21" t="n">
        <v>0</v>
      </c>
      <c r="H381" s="21" t="n">
        <v>0</v>
      </c>
      <c r="I381" s="21" t="n">
        <v>0</v>
      </c>
    </row>
    <row r="382">
      <c r="A382" t="inlineStr">
        <is>
          <t>ZZ1</t>
        </is>
      </c>
      <c r="B382" s="141" t="inlineStr">
        <is>
          <t>Yekun BTSH</t>
        </is>
      </c>
      <c r="C382" s="23" t="n"/>
      <c r="D382" s="222" t="n">
        <v>1344997.22</v>
      </c>
      <c r="E382" s="222" t="n">
        <v>175686.93</v>
      </c>
      <c r="F382" s="222" t="n">
        <v>1169310.29</v>
      </c>
      <c r="G382" s="222" t="n">
        <v>0</v>
      </c>
      <c r="H382" s="222" t="n">
        <v>0</v>
      </c>
      <c r="I382" s="222" t="n">
        <v>0</v>
      </c>
    </row>
    <row r="383">
      <c r="B383" s="172" t="inlineStr">
        <is>
          <t>İdarə heyətinin sədri ____________________________       _____________</t>
        </is>
      </c>
    </row>
    <row r="384">
      <c r="B384" s="173" t="inlineStr">
        <is>
          <t xml:space="preserve">                                     (s.a.a)                                     (imza)</t>
        </is>
      </c>
    </row>
    <row r="385">
      <c r="B385" s="24" t="n"/>
      <c r="C385" s="24" t="n"/>
      <c r="D385" s="130" t="n"/>
      <c r="E385" s="130" t="n"/>
      <c r="F385" s="130" t="n"/>
    </row>
    <row r="386">
      <c r="B386" s="172" t="inlineStr">
        <is>
          <t>Baş mühasib _______________________       _____________</t>
        </is>
      </c>
    </row>
    <row r="387">
      <c r="B387" s="173" t="inlineStr">
        <is>
          <t xml:space="preserve">                                    (s.a.a)                                      (imza)</t>
        </is>
      </c>
    </row>
    <row r="388">
      <c r="B388" s="24" t="n"/>
      <c r="C388" s="24" t="n"/>
      <c r="D388" s="130" t="n"/>
      <c r="E388" s="130" t="n"/>
      <c r="F388" s="26" t="inlineStr">
        <is>
          <t>M.Y.</t>
        </is>
      </c>
    </row>
    <row r="389">
      <c r="B389" s="130" t="n"/>
      <c r="C389" s="130" t="n"/>
      <c r="D389" s="130" t="n"/>
      <c r="E389" s="130" t="n"/>
      <c r="F389" s="130" t="n"/>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H391"/>
  <sheetViews>
    <sheetView workbookViewId="0">
      <selection activeCell="D6" sqref="D6"/>
    </sheetView>
  </sheetViews>
  <sheetFormatPr baseColWidth="8" defaultRowHeight="14.4"/>
  <cols>
    <col width="8.88671875" customWidth="1" style="132" min="1" max="1"/>
    <col width="24.77734375" customWidth="1" style="132" min="2" max="2"/>
    <col width="24.5546875" customWidth="1" style="132" min="3" max="3"/>
    <col width="24.77734375" customWidth="1" style="132" min="4" max="5"/>
    <col width="24.44140625" customWidth="1" style="132" min="6" max="6"/>
    <col width="24.44140625" customWidth="1" style="132" min="7" max="8"/>
    <col width="8.88671875" customWidth="1" style="132" min="9" max="16384"/>
  </cols>
  <sheetData>
    <row r="1" ht="39" customHeight="1" s="132">
      <c r="B1" s="27" t="n"/>
      <c r="C1" s="27" t="n"/>
      <c r="D1" s="27" t="n"/>
      <c r="E1" s="174" t="inlineStr">
        <is>
          <t>«Həyat sığortası və qeyri-həyat sığortası
üzrə sığorta ehtiyatlarının formalaşdırılması
Qaydaları»na Əlavə № 3</t>
        </is>
      </c>
    </row>
    <row r="2" ht="18" customHeight="1" s="132">
      <c r="B2" s="189" t="inlineStr">
        <is>
          <t>Forma № 8-2</t>
        </is>
      </c>
      <c r="C2" s="27" t="n"/>
      <c r="D2" s="27" t="n"/>
      <c r="E2" s="200" t="n"/>
      <c r="F2" s="130" t="n"/>
    </row>
    <row r="3" ht="20.4" customHeight="1" s="132">
      <c r="B3" s="179" t="inlineStr">
        <is>
          <t xml:space="preserve"> Qazanılmamış sığorta haqları ehtiyatının baza hissəsi</t>
        </is>
      </c>
    </row>
    <row r="4" ht="17.4" customHeight="1" s="132">
      <c r="B4" s="176" t="n">
        <v>0</v>
      </c>
    </row>
    <row r="5" ht="15.6" customHeight="1" s="132">
      <c r="B5" s="177" t="inlineStr">
        <is>
          <t xml:space="preserve">    (sığortaçının (təkrarsığortaçının)  adı)</t>
        </is>
      </c>
    </row>
    <row r="6" ht="17.4" customHeight="1" s="132">
      <c r="B6" s="11" t="n"/>
      <c r="D6" s="12" t="inlineStr">
        <is>
          <t>01.01.2026</t>
        </is>
      </c>
      <c r="E6" s="11" t="inlineStr">
        <is>
          <t xml:space="preserve"> -cı il  tarixə</t>
        </is>
      </c>
      <c r="F6" s="11" t="n"/>
    </row>
    <row r="7" ht="17.4" customHeight="1" s="132">
      <c r="B7" s="13" t="n"/>
      <c r="C7" s="13" t="n"/>
      <c r="D7" s="13" t="n"/>
      <c r="E7" s="13" t="n"/>
      <c r="F7" s="13" t="n"/>
    </row>
    <row r="8" ht="18" customHeight="1" s="132">
      <c r="B8" s="14" t="inlineStr">
        <is>
          <t>Sığortanın sinifi ____________________________</t>
        </is>
      </c>
      <c r="C8" s="219" t="inlineStr">
        <is>
          <t>(21)UmumiMulkiMesuliyy</t>
        </is>
      </c>
      <c r="D8" s="15" t="n"/>
      <c r="F8" s="13" t="n"/>
    </row>
    <row r="9" ht="18" customHeight="1" s="132">
      <c r="B9" s="71" t="n"/>
      <c r="C9" s="71" t="n"/>
      <c r="D9" s="71" t="n"/>
      <c r="E9" s="71" t="n"/>
      <c r="F9" s="71" t="n"/>
    </row>
    <row r="10" ht="129" customHeight="1" s="132">
      <c r="B10" s="18" t="inlineStr">
        <is>
          <t>Sığorta müqavilələri</t>
        </is>
      </c>
      <c r="C10" s="18" t="inlineStr">
        <is>
          <t>Baza sığorta haqqı</t>
        </is>
      </c>
      <c r="D10" s="18" t="inlineStr">
        <is>
          <t xml:space="preserve">Sığorta təminatının müddəti                   (günlərlə) </t>
        </is>
      </c>
      <c r="E10" s="18" t="inlineStr">
        <is>
          <t xml:space="preserve">Sığorta təminatının başlandığı andan hesabat tarixinə qədər günlərin sayı </t>
        </is>
      </c>
      <c r="F10" s="18" t="inlineStr">
        <is>
          <t>Qazanılmamış sığorta haqqı (süt.2x(süt.3-süt.4)/süt.3)</t>
        </is>
      </c>
      <c r="G10" s="18" t="inlineStr">
        <is>
          <t>Baza sığorta haqqının katastrofik risk təminatına düşən hissəsi</t>
        </is>
      </c>
      <c r="H10" s="18" t="inlineStr">
        <is>
          <t>Qazanılmamış sığorta haqqının katastrofik risk təminatına düşən hissəsi
(VIx(III-IV)/III)</t>
        </is>
      </c>
    </row>
    <row r="11" ht="17.4" customHeight="1" s="132">
      <c r="A11" t="inlineStr">
        <is>
          <t>A</t>
        </is>
      </c>
      <c r="B11" s="19" t="inlineStr">
        <is>
          <t>I</t>
        </is>
      </c>
      <c r="C11" s="19" t="inlineStr">
        <is>
          <t>II</t>
        </is>
      </c>
      <c r="D11" s="19" t="inlineStr">
        <is>
          <t>III</t>
        </is>
      </c>
      <c r="E11" s="19" t="inlineStr">
        <is>
          <t>IV</t>
        </is>
      </c>
      <c r="F11" s="19" t="inlineStr">
        <is>
          <t>V</t>
        </is>
      </c>
      <c r="G11" s="19" t="inlineStr">
        <is>
          <t>VI</t>
        </is>
      </c>
      <c r="H11" s="19" t="inlineStr">
        <is>
          <t>VII</t>
        </is>
      </c>
    </row>
    <row r="12" ht="28" customHeight="1" s="132">
      <c r="A12" s="220" t="inlineStr">
        <is>
          <t>A1</t>
        </is>
      </c>
      <c r="B12" s="220" t="inlineStr">
        <is>
          <t>LCC-2403820</t>
        </is>
      </c>
      <c r="C12" s="220" t="n">
        <v>4161</v>
      </c>
      <c r="D12" s="220" t="n">
        <v>549</v>
      </c>
      <c r="E12" s="220" t="n">
        <v>549</v>
      </c>
      <c r="F12" s="220">
        <f>ROUND((D12-E12)/D12*C12,2)</f>
        <v/>
      </c>
      <c r="G12" s="220">
        <f>ROUND(C12*0,2)</f>
        <v/>
      </c>
      <c r="H12" s="220" t="n">
        <v>0</v>
      </c>
    </row>
    <row r="13" ht="28" customHeight="1" s="132">
      <c r="A13" s="220" t="inlineStr">
        <is>
          <t>A2</t>
        </is>
      </c>
      <c r="B13" s="220" t="inlineStr">
        <is>
          <t>LCC-2403861</t>
        </is>
      </c>
      <c r="C13" s="220" t="n">
        <v>178.5</v>
      </c>
      <c r="D13" s="220" t="n">
        <v>365</v>
      </c>
      <c r="E13" s="220" t="n">
        <v>455</v>
      </c>
      <c r="F13" s="220">
        <f>ROUND((D13-E13)/D13*C13,2)</f>
        <v/>
      </c>
      <c r="G13" s="220">
        <f>ROUND(C13*0,2)</f>
        <v/>
      </c>
      <c r="H13" s="220" t="n">
        <v>0</v>
      </c>
    </row>
    <row r="14" ht="28" customHeight="1" s="132">
      <c r="A14" s="220" t="inlineStr">
        <is>
          <t>A3</t>
        </is>
      </c>
      <c r="B14" s="220" t="inlineStr">
        <is>
          <t>LCC-2403862</t>
        </is>
      </c>
      <c r="C14" s="220" t="n">
        <v>1105</v>
      </c>
      <c r="D14" s="220" t="n">
        <v>365</v>
      </c>
      <c r="E14" s="220" t="n">
        <v>456</v>
      </c>
      <c r="F14" s="220">
        <f>ROUND((D14-E14)/D14*C14,2)</f>
        <v/>
      </c>
      <c r="G14" s="220">
        <f>ROUND(C14*0,2)</f>
        <v/>
      </c>
      <c r="H14" s="220" t="n">
        <v>0</v>
      </c>
    </row>
    <row r="15" ht="28" customHeight="1" s="132">
      <c r="A15" s="220" t="inlineStr">
        <is>
          <t>A4</t>
        </is>
      </c>
      <c r="B15" s="220" t="inlineStr">
        <is>
          <t>LCC-2403867</t>
        </is>
      </c>
      <c r="C15" s="220" t="n">
        <v>178.5</v>
      </c>
      <c r="D15" s="220" t="n">
        <v>365</v>
      </c>
      <c r="E15" s="220" t="n">
        <v>449</v>
      </c>
      <c r="F15" s="220">
        <f>ROUND((D15-E15)/D15*C15,2)</f>
        <v/>
      </c>
      <c r="G15" s="220">
        <f>ROUND(C15*0,2)</f>
        <v/>
      </c>
      <c r="H15" s="220" t="n">
        <v>0</v>
      </c>
    </row>
    <row r="16" ht="28" customHeight="1" s="132">
      <c r="A16" s="220" t="inlineStr">
        <is>
          <t>A5</t>
        </is>
      </c>
      <c r="B16" s="220" t="inlineStr">
        <is>
          <t>LCC-2403868</t>
        </is>
      </c>
      <c r="C16" s="220" t="n">
        <v>178.5</v>
      </c>
      <c r="D16" s="220" t="n">
        <v>365</v>
      </c>
      <c r="E16" s="220" t="n">
        <v>449</v>
      </c>
      <c r="F16" s="220">
        <f>ROUND((D16-E16)/D16*C16,2)</f>
        <v/>
      </c>
      <c r="G16" s="220">
        <f>ROUND(C16*0,2)</f>
        <v/>
      </c>
      <c r="H16" s="220" t="n">
        <v>0</v>
      </c>
    </row>
    <row r="17" ht="28" customHeight="1" s="132">
      <c r="A17" s="220" t="inlineStr">
        <is>
          <t>A6</t>
        </is>
      </c>
      <c r="B17" s="220" t="inlineStr">
        <is>
          <t>LCC-2403870</t>
        </is>
      </c>
      <c r="C17" s="220" t="n">
        <v>178.5</v>
      </c>
      <c r="D17" s="220" t="n">
        <v>365</v>
      </c>
      <c r="E17" s="220" t="n">
        <v>448</v>
      </c>
      <c r="F17" s="220">
        <f>ROUND((D17-E17)/D17*C17,2)</f>
        <v/>
      </c>
      <c r="G17" s="220">
        <f>ROUND(C17*0,2)</f>
        <v/>
      </c>
      <c r="H17" s="220" t="n">
        <v>0</v>
      </c>
    </row>
    <row r="18" ht="28" customHeight="1" s="132">
      <c r="A18" s="220" t="inlineStr">
        <is>
          <t>A7</t>
        </is>
      </c>
      <c r="B18" s="220" t="inlineStr">
        <is>
          <t>LCC-2403869</t>
        </is>
      </c>
      <c r="C18" s="220" t="n">
        <v>178.5</v>
      </c>
      <c r="D18" s="220" t="n">
        <v>365</v>
      </c>
      <c r="E18" s="220" t="n">
        <v>448</v>
      </c>
      <c r="F18" s="220">
        <f>ROUND((D18-E18)/D18*C18,2)</f>
        <v/>
      </c>
      <c r="G18" s="220">
        <f>ROUND(C18*0,2)</f>
        <v/>
      </c>
      <c r="H18" s="220" t="n">
        <v>0</v>
      </c>
    </row>
    <row r="19" ht="28" customHeight="1" s="132">
      <c r="A19" s="220" t="inlineStr">
        <is>
          <t>A8</t>
        </is>
      </c>
      <c r="B19" s="220" t="inlineStr">
        <is>
          <t>LCC-2403874</t>
        </is>
      </c>
      <c r="C19" s="220" t="n">
        <v>178.5</v>
      </c>
      <c r="D19" s="220" t="n">
        <v>365</v>
      </c>
      <c r="E19" s="220" t="n">
        <v>446</v>
      </c>
      <c r="F19" s="220">
        <f>ROUND((D19-E19)/D19*C19,2)</f>
        <v/>
      </c>
      <c r="G19" s="220">
        <f>ROUND(C19*0,2)</f>
        <v/>
      </c>
      <c r="H19" s="220" t="n">
        <v>0</v>
      </c>
    </row>
    <row r="20" ht="28" customHeight="1" s="132">
      <c r="A20" s="220" t="inlineStr">
        <is>
          <t>A9</t>
        </is>
      </c>
      <c r="B20" s="220" t="inlineStr">
        <is>
          <t>LCC-2403882</t>
        </is>
      </c>
      <c r="C20" s="220" t="n">
        <v>178.5</v>
      </c>
      <c r="D20" s="220" t="n">
        <v>365</v>
      </c>
      <c r="E20" s="220" t="n">
        <v>443</v>
      </c>
      <c r="F20" s="220">
        <f>ROUND((D20-E20)/D20*C20,2)</f>
        <v/>
      </c>
      <c r="G20" s="220">
        <f>ROUND(C20*0,2)</f>
        <v/>
      </c>
      <c r="H20" s="220" t="n">
        <v>0</v>
      </c>
    </row>
    <row r="21" ht="28" customHeight="1" s="132">
      <c r="A21" s="220" t="inlineStr">
        <is>
          <t>A10</t>
        </is>
      </c>
      <c r="B21" s="220" t="inlineStr">
        <is>
          <t>LCC-2403881</t>
        </is>
      </c>
      <c r="C21" s="220" t="n">
        <v>425</v>
      </c>
      <c r="D21" s="220" t="n">
        <v>365</v>
      </c>
      <c r="E21" s="220" t="n">
        <v>443</v>
      </c>
      <c r="F21" s="220">
        <f>ROUND((D21-E21)/D21*C21,2)</f>
        <v/>
      </c>
      <c r="G21" s="220">
        <f>ROUND(C21*0,2)</f>
        <v/>
      </c>
      <c r="H21" s="220" t="n">
        <v>0</v>
      </c>
    </row>
    <row r="22" ht="28" customHeight="1" s="132">
      <c r="A22" s="220" t="inlineStr">
        <is>
          <t>A11</t>
        </is>
      </c>
      <c r="B22" s="220" t="inlineStr">
        <is>
          <t>LCC-2403883</t>
        </is>
      </c>
      <c r="C22" s="220" t="n">
        <v>1966.69</v>
      </c>
      <c r="D22" s="220" t="n">
        <v>366</v>
      </c>
      <c r="E22" s="220" t="n">
        <v>365</v>
      </c>
      <c r="F22" s="220">
        <f>ROUND((D22-E22)/D22*C22,2)</f>
        <v/>
      </c>
      <c r="G22" s="220">
        <f>ROUND(C22*0,2)</f>
        <v/>
      </c>
      <c r="H22" s="220" t="n">
        <v>0</v>
      </c>
    </row>
    <row r="23" ht="28" customHeight="1" s="132">
      <c r="A23" s="220" t="inlineStr">
        <is>
          <t>A12</t>
        </is>
      </c>
      <c r="B23" s="220" t="inlineStr">
        <is>
          <t>LCC-2403884</t>
        </is>
      </c>
      <c r="C23" s="220" t="n">
        <v>178.5</v>
      </c>
      <c r="D23" s="220" t="n">
        <v>365</v>
      </c>
      <c r="E23" s="220" t="n">
        <v>441</v>
      </c>
      <c r="F23" s="220">
        <f>ROUND((D23-E23)/D23*C23,2)</f>
        <v/>
      </c>
      <c r="G23" s="220">
        <f>ROUND(C23*0,2)</f>
        <v/>
      </c>
      <c r="H23" s="220" t="n">
        <v>0</v>
      </c>
    </row>
    <row r="24" ht="28" customHeight="1" s="132">
      <c r="A24" s="220" t="inlineStr">
        <is>
          <t>A13</t>
        </is>
      </c>
      <c r="B24" s="220" t="inlineStr">
        <is>
          <t>LCC-2403886</t>
        </is>
      </c>
      <c r="C24" s="220" t="n">
        <v>178.5</v>
      </c>
      <c r="D24" s="220" t="n">
        <v>365</v>
      </c>
      <c r="E24" s="220" t="n">
        <v>441</v>
      </c>
      <c r="F24" s="220">
        <f>ROUND((D24-E24)/D24*C24,2)</f>
        <v/>
      </c>
      <c r="G24" s="220">
        <f>ROUND(C24*0,2)</f>
        <v/>
      </c>
      <c r="H24" s="220" t="n">
        <v>0</v>
      </c>
    </row>
    <row r="25" ht="28" customHeight="1" s="132">
      <c r="A25" s="220" t="inlineStr">
        <is>
          <t>A14</t>
        </is>
      </c>
      <c r="B25" s="220" t="inlineStr">
        <is>
          <t>LCC-2403888</t>
        </is>
      </c>
      <c r="C25" s="220" t="n">
        <v>722.5</v>
      </c>
      <c r="D25" s="220" t="n">
        <v>365</v>
      </c>
      <c r="E25" s="220" t="n">
        <v>438</v>
      </c>
      <c r="F25" s="220">
        <f>ROUND((D25-E25)/D25*C25,2)</f>
        <v/>
      </c>
      <c r="G25" s="220">
        <f>ROUND(C25*0,2)</f>
        <v/>
      </c>
      <c r="H25" s="220" t="n">
        <v>0</v>
      </c>
    </row>
    <row r="26" ht="28" customHeight="1" s="132">
      <c r="A26" s="220" t="inlineStr">
        <is>
          <t>A15</t>
        </is>
      </c>
      <c r="B26" s="220" t="inlineStr">
        <is>
          <t>LCC-2403887</t>
        </is>
      </c>
      <c r="C26" s="220" t="n">
        <v>756.5</v>
      </c>
      <c r="D26" s="220" t="n">
        <v>365</v>
      </c>
      <c r="E26" s="220" t="n">
        <v>438</v>
      </c>
      <c r="F26" s="220">
        <f>ROUND((D26-E26)/D26*C26,2)</f>
        <v/>
      </c>
      <c r="G26" s="220">
        <f>ROUND(C26*0,2)</f>
        <v/>
      </c>
      <c r="H26" s="220" t="n">
        <v>0</v>
      </c>
    </row>
    <row r="27" ht="28" customHeight="1" s="132">
      <c r="A27" s="220" t="inlineStr">
        <is>
          <t>A16</t>
        </is>
      </c>
      <c r="B27" s="220" t="inlineStr">
        <is>
          <t>LCP-2403890</t>
        </is>
      </c>
      <c r="C27" s="220" t="n">
        <v>340</v>
      </c>
      <c r="D27" s="220" t="n">
        <v>365</v>
      </c>
      <c r="E27" s="220" t="n">
        <v>436</v>
      </c>
      <c r="F27" s="220">
        <f>ROUND((D27-E27)/D27*C27,2)</f>
        <v/>
      </c>
      <c r="G27" s="220">
        <f>ROUND(C27*0,2)</f>
        <v/>
      </c>
      <c r="H27" s="220" t="n">
        <v>0</v>
      </c>
    </row>
    <row r="28" ht="28" customHeight="1" s="132">
      <c r="A28" s="220" t="inlineStr">
        <is>
          <t>A17</t>
        </is>
      </c>
      <c r="B28" s="220" t="inlineStr">
        <is>
          <t>LCC-2403895</t>
        </is>
      </c>
      <c r="C28" s="220" t="n">
        <v>178.5</v>
      </c>
      <c r="D28" s="220" t="n">
        <v>365</v>
      </c>
      <c r="E28" s="220" t="n">
        <v>429</v>
      </c>
      <c r="F28" s="220">
        <f>ROUND((D28-E28)/D28*C28,2)</f>
        <v/>
      </c>
      <c r="G28" s="220">
        <f>ROUND(C28*0,2)</f>
        <v/>
      </c>
      <c r="H28" s="220" t="n">
        <v>0</v>
      </c>
    </row>
    <row r="29" ht="28" customHeight="1" s="132">
      <c r="A29" s="220" t="inlineStr">
        <is>
          <t>A18</t>
        </is>
      </c>
      <c r="B29" s="220" t="inlineStr">
        <is>
          <t>LCC-2403898</t>
        </is>
      </c>
      <c r="C29" s="220" t="n">
        <v>850</v>
      </c>
      <c r="D29" s="220" t="n">
        <v>365</v>
      </c>
      <c r="E29" s="220" t="n">
        <v>426</v>
      </c>
      <c r="F29" s="220">
        <f>ROUND((D29-E29)/D29*C29,2)</f>
        <v/>
      </c>
      <c r="G29" s="220">
        <f>ROUND(C29*0,2)</f>
        <v/>
      </c>
      <c r="H29" s="220" t="n">
        <v>0</v>
      </c>
    </row>
    <row r="30" ht="28" customHeight="1" s="132">
      <c r="A30" s="220" t="inlineStr">
        <is>
          <t>A19</t>
        </is>
      </c>
      <c r="B30" s="220" t="inlineStr">
        <is>
          <t>LCC-2403899</t>
        </is>
      </c>
      <c r="C30" s="220" t="n">
        <v>5512.25</v>
      </c>
      <c r="D30" s="220" t="n">
        <v>518</v>
      </c>
      <c r="E30" s="220" t="n">
        <v>495</v>
      </c>
      <c r="F30" s="220">
        <f>ROUND((D30-E30)/D30*C30,2)</f>
        <v/>
      </c>
      <c r="G30" s="220">
        <f>ROUND(C30*0,2)</f>
        <v/>
      </c>
      <c r="H30" s="220" t="n">
        <v>0</v>
      </c>
    </row>
    <row r="31" ht="28" customHeight="1" s="132">
      <c r="A31" s="220" t="inlineStr">
        <is>
          <t>A20</t>
        </is>
      </c>
      <c r="B31" s="220" t="inlineStr">
        <is>
          <t>LCC-2403897</t>
        </is>
      </c>
      <c r="C31" s="220" t="n">
        <v>12116.66</v>
      </c>
      <c r="D31" s="220" t="n">
        <v>365</v>
      </c>
      <c r="E31" s="220" t="n">
        <v>426</v>
      </c>
      <c r="F31" s="220">
        <f>ROUND((D31-E31)/D31*C31,2)</f>
        <v/>
      </c>
      <c r="G31" s="220">
        <f>ROUND(C31*0,2)</f>
        <v/>
      </c>
      <c r="H31" s="220" t="n">
        <v>0</v>
      </c>
    </row>
    <row r="32" ht="28" customHeight="1" s="132">
      <c r="A32" s="220" t="inlineStr">
        <is>
          <t>A21</t>
        </is>
      </c>
      <c r="B32" s="220" t="inlineStr">
        <is>
          <t>LCC-2403901</t>
        </is>
      </c>
      <c r="C32" s="220" t="n">
        <v>1049.75</v>
      </c>
      <c r="D32" s="220" t="n">
        <v>365</v>
      </c>
      <c r="E32" s="220" t="n">
        <v>426</v>
      </c>
      <c r="F32" s="220">
        <f>ROUND((D32-E32)/D32*C32,2)</f>
        <v/>
      </c>
      <c r="G32" s="220">
        <f>ROUND(C32*0,2)</f>
        <v/>
      </c>
      <c r="H32" s="220" t="n">
        <v>0</v>
      </c>
    </row>
    <row r="33" ht="28" customHeight="1" s="132">
      <c r="A33" s="220" t="inlineStr">
        <is>
          <t>A22</t>
        </is>
      </c>
      <c r="B33" s="220" t="inlineStr">
        <is>
          <t>LCC-2403903</t>
        </is>
      </c>
      <c r="C33" s="220" t="n">
        <v>178.5</v>
      </c>
      <c r="D33" s="220" t="n">
        <v>365</v>
      </c>
      <c r="E33" s="220" t="n">
        <v>422</v>
      </c>
      <c r="F33" s="220">
        <f>ROUND((D33-E33)/D33*C33,2)</f>
        <v/>
      </c>
      <c r="G33" s="220">
        <f>ROUND(C33*0,2)</f>
        <v/>
      </c>
      <c r="H33" s="220" t="n">
        <v>0</v>
      </c>
    </row>
    <row r="34" ht="28" customHeight="1" s="132">
      <c r="A34" s="220" t="inlineStr">
        <is>
          <t>A23</t>
        </is>
      </c>
      <c r="B34" s="220" t="inlineStr">
        <is>
          <t>LCC-2403902</t>
        </is>
      </c>
      <c r="C34" s="220" t="n">
        <v>178.5</v>
      </c>
      <c r="D34" s="220" t="n">
        <v>365</v>
      </c>
      <c r="E34" s="220" t="n">
        <v>422</v>
      </c>
      <c r="F34" s="220">
        <f>ROUND((D34-E34)/D34*C34,2)</f>
        <v/>
      </c>
      <c r="G34" s="220">
        <f>ROUND(C34*0,2)</f>
        <v/>
      </c>
      <c r="H34" s="220" t="n">
        <v>0</v>
      </c>
    </row>
    <row r="35" ht="28" customHeight="1" s="132">
      <c r="A35" s="220" t="inlineStr">
        <is>
          <t>A24</t>
        </is>
      </c>
      <c r="B35" s="220" t="inlineStr">
        <is>
          <t>LCC-2403906</t>
        </is>
      </c>
      <c r="C35" s="220" t="n">
        <v>178.5</v>
      </c>
      <c r="D35" s="220" t="n">
        <v>365</v>
      </c>
      <c r="E35" s="220" t="n">
        <v>420</v>
      </c>
      <c r="F35" s="220">
        <f>ROUND((D35-E35)/D35*C35,2)</f>
        <v/>
      </c>
      <c r="G35" s="220">
        <f>ROUND(C35*0,2)</f>
        <v/>
      </c>
      <c r="H35" s="220" t="n">
        <v>0</v>
      </c>
    </row>
    <row r="36" ht="28" customHeight="1" s="132">
      <c r="A36" s="220" t="inlineStr">
        <is>
          <t>A25</t>
        </is>
      </c>
      <c r="B36" s="220" t="inlineStr">
        <is>
          <t>LCC-2403908</t>
        </is>
      </c>
      <c r="C36" s="220" t="n">
        <v>178.5</v>
      </c>
      <c r="D36" s="220" t="n">
        <v>365</v>
      </c>
      <c r="E36" s="220" t="n">
        <v>420</v>
      </c>
      <c r="F36" s="220">
        <f>ROUND((D36-E36)/D36*C36,2)</f>
        <v/>
      </c>
      <c r="G36" s="220">
        <f>ROUND(C36*0,2)</f>
        <v/>
      </c>
      <c r="H36" s="220" t="n">
        <v>0</v>
      </c>
    </row>
    <row r="37" ht="28" customHeight="1" s="132">
      <c r="A37" s="220" t="inlineStr">
        <is>
          <t>A26</t>
        </is>
      </c>
      <c r="B37" s="220" t="inlineStr">
        <is>
          <t>LCC-2403907</t>
        </is>
      </c>
      <c r="C37" s="220" t="n">
        <v>178.5</v>
      </c>
      <c r="D37" s="220" t="n">
        <v>365</v>
      </c>
      <c r="E37" s="220" t="n">
        <v>420</v>
      </c>
      <c r="F37" s="220">
        <f>ROUND((D37-E37)/D37*C37,2)</f>
        <v/>
      </c>
      <c r="G37" s="220">
        <f>ROUND(C37*0,2)</f>
        <v/>
      </c>
      <c r="H37" s="220" t="n">
        <v>0</v>
      </c>
    </row>
    <row r="38" ht="28" customHeight="1" s="132">
      <c r="A38" s="220" t="inlineStr">
        <is>
          <t>A27</t>
        </is>
      </c>
      <c r="B38" s="220" t="inlineStr">
        <is>
          <t>LCC-2403909</t>
        </is>
      </c>
      <c r="C38" s="220" t="n">
        <v>16626.17</v>
      </c>
      <c r="D38" s="220" t="n">
        <v>365</v>
      </c>
      <c r="E38" s="220" t="n">
        <v>426</v>
      </c>
      <c r="F38" s="220">
        <f>ROUND((D38-E38)/D38*C38,2)</f>
        <v/>
      </c>
      <c r="G38" s="220">
        <f>ROUND(C38*0,2)</f>
        <v/>
      </c>
      <c r="H38" s="220" t="n">
        <v>0</v>
      </c>
    </row>
    <row r="39" ht="28" customHeight="1" s="132">
      <c r="A39" s="220" t="inlineStr">
        <is>
          <t>A28</t>
        </is>
      </c>
      <c r="B39" s="220" t="inlineStr">
        <is>
          <t>LCC-2403910</t>
        </is>
      </c>
      <c r="C39" s="220" t="n">
        <v>31833.35</v>
      </c>
      <c r="D39" s="220" t="n">
        <v>365</v>
      </c>
      <c r="E39" s="220" t="n">
        <v>426</v>
      </c>
      <c r="F39" s="220">
        <f>ROUND((D39-E39)/D39*C39,2)</f>
        <v/>
      </c>
      <c r="G39" s="220">
        <f>ROUND(C39*0,2)</f>
        <v/>
      </c>
      <c r="H39" s="220" t="n">
        <v>0</v>
      </c>
    </row>
    <row r="40" ht="28" customHeight="1" s="132">
      <c r="A40" s="220" t="inlineStr">
        <is>
          <t>A29</t>
        </is>
      </c>
      <c r="B40" s="220" t="inlineStr">
        <is>
          <t>LCC-2403912</t>
        </is>
      </c>
      <c r="C40" s="220" t="n">
        <v>178.5</v>
      </c>
      <c r="D40" s="220" t="n">
        <v>365</v>
      </c>
      <c r="E40" s="220" t="n">
        <v>410</v>
      </c>
      <c r="F40" s="220">
        <f>ROUND((D40-E40)/D40*C40,2)</f>
        <v/>
      </c>
      <c r="G40" s="220">
        <f>ROUND(C40*0,2)</f>
        <v/>
      </c>
      <c r="H40" s="220" t="n">
        <v>0</v>
      </c>
    </row>
    <row r="41" ht="28" customHeight="1" s="132">
      <c r="A41" s="220" t="inlineStr">
        <is>
          <t>A30</t>
        </is>
      </c>
      <c r="B41" s="220" t="inlineStr">
        <is>
          <t>LCP-2403913</t>
        </is>
      </c>
      <c r="C41" s="220" t="n">
        <v>340</v>
      </c>
      <c r="D41" s="220" t="n">
        <v>365</v>
      </c>
      <c r="E41" s="220" t="n">
        <v>396</v>
      </c>
      <c r="F41" s="220">
        <f>ROUND((D41-E41)/D41*C41,2)</f>
        <v/>
      </c>
      <c r="G41" s="220">
        <f>ROUND(C41*0,2)</f>
        <v/>
      </c>
      <c r="H41" s="220" t="n">
        <v>0</v>
      </c>
    </row>
    <row r="42" ht="28" customHeight="1" s="132">
      <c r="A42" s="220" t="inlineStr">
        <is>
          <t>A31</t>
        </is>
      </c>
      <c r="B42" s="220" t="inlineStr">
        <is>
          <t>LCC-2403918</t>
        </is>
      </c>
      <c r="C42" s="220" t="n">
        <v>178.5</v>
      </c>
      <c r="D42" s="220" t="n">
        <v>365</v>
      </c>
      <c r="E42" s="220" t="n">
        <v>408</v>
      </c>
      <c r="F42" s="220">
        <f>ROUND((D42-E42)/D42*C42,2)</f>
        <v/>
      </c>
      <c r="G42" s="220">
        <f>ROUND(C42*0,2)</f>
        <v/>
      </c>
      <c r="H42" s="220" t="n">
        <v>0</v>
      </c>
    </row>
    <row r="43" ht="28" customHeight="1" s="132">
      <c r="A43" s="220" t="inlineStr">
        <is>
          <t>A32</t>
        </is>
      </c>
      <c r="B43" s="220" t="inlineStr">
        <is>
          <t>LCC-2403917</t>
        </is>
      </c>
      <c r="C43" s="220" t="n">
        <v>2108</v>
      </c>
      <c r="D43" s="220" t="n">
        <v>365</v>
      </c>
      <c r="E43" s="220" t="n">
        <v>408</v>
      </c>
      <c r="F43" s="220">
        <f>ROUND((D43-E43)/D43*C43,2)</f>
        <v/>
      </c>
      <c r="G43" s="220">
        <f>ROUND(C43*0,2)</f>
        <v/>
      </c>
      <c r="H43" s="220" t="n">
        <v>0</v>
      </c>
    </row>
    <row r="44" ht="28" customHeight="1" s="132">
      <c r="A44" s="220" t="inlineStr">
        <is>
          <t>A33</t>
        </is>
      </c>
      <c r="B44" s="220" t="inlineStr">
        <is>
          <t>LCC-2403916</t>
        </is>
      </c>
      <c r="C44" s="220" t="n">
        <v>13778.08</v>
      </c>
      <c r="D44" s="220" t="n">
        <v>365</v>
      </c>
      <c r="E44" s="220" t="n">
        <v>427</v>
      </c>
      <c r="F44" s="220">
        <f>ROUND((D44-E44)/D44*C44,2)</f>
        <v/>
      </c>
      <c r="G44" s="220">
        <f>ROUND(C44*0,2)</f>
        <v/>
      </c>
      <c r="H44" s="220" t="n">
        <v>0</v>
      </c>
    </row>
    <row r="45" ht="28" customHeight="1" s="132">
      <c r="A45" s="220" t="inlineStr">
        <is>
          <t>A34</t>
        </is>
      </c>
      <c r="B45" s="220" t="inlineStr">
        <is>
          <t>LCC-2403924</t>
        </is>
      </c>
      <c r="C45" s="220" t="n">
        <v>765</v>
      </c>
      <c r="D45" s="220" t="n">
        <v>365</v>
      </c>
      <c r="E45" s="220" t="n">
        <v>405</v>
      </c>
      <c r="F45" s="220">
        <f>ROUND((D45-E45)/D45*C45,2)</f>
        <v/>
      </c>
      <c r="G45" s="220">
        <f>ROUND(C45*0,2)</f>
        <v/>
      </c>
      <c r="H45" s="220" t="n">
        <v>0</v>
      </c>
    </row>
    <row r="46" ht="28" customHeight="1" s="132">
      <c r="A46" s="220" t="inlineStr">
        <is>
          <t>A35</t>
        </is>
      </c>
      <c r="B46" s="220" t="inlineStr">
        <is>
          <t>LCC-2403926</t>
        </is>
      </c>
      <c r="C46" s="220" t="n">
        <v>9052.5</v>
      </c>
      <c r="D46" s="220" t="n">
        <v>365</v>
      </c>
      <c r="E46" s="220" t="n">
        <v>402</v>
      </c>
      <c r="F46" s="220">
        <f>ROUND((D46-E46)/D46*C46,2)</f>
        <v/>
      </c>
      <c r="G46" s="220">
        <f>ROUND(C46*0,2)</f>
        <v/>
      </c>
      <c r="H46" s="220" t="n">
        <v>0</v>
      </c>
    </row>
    <row r="47" ht="28" customHeight="1" s="132">
      <c r="A47" s="220" t="inlineStr">
        <is>
          <t>A36</t>
        </is>
      </c>
      <c r="B47" s="220" t="inlineStr">
        <is>
          <t>LCC-2403928</t>
        </is>
      </c>
      <c r="C47" s="220" t="n">
        <v>17123.25</v>
      </c>
      <c r="D47" s="220" t="n">
        <v>365</v>
      </c>
      <c r="E47" s="220" t="n">
        <v>423</v>
      </c>
      <c r="F47" s="220">
        <f>ROUND((D47-E47)/D47*C47,2)</f>
        <v/>
      </c>
      <c r="G47" s="220">
        <f>ROUND(C47*0,2)</f>
        <v/>
      </c>
      <c r="H47" s="220" t="n">
        <v>0</v>
      </c>
    </row>
    <row r="48" ht="28" customHeight="1" s="132">
      <c r="A48" s="220" t="inlineStr">
        <is>
          <t>A37</t>
        </is>
      </c>
      <c r="B48" s="220" t="inlineStr">
        <is>
          <t>LCC-2403927</t>
        </is>
      </c>
      <c r="C48" s="220" t="n">
        <v>24767.3</v>
      </c>
      <c r="D48" s="220" t="n">
        <v>365</v>
      </c>
      <c r="E48" s="220" t="n">
        <v>423</v>
      </c>
      <c r="F48" s="220">
        <f>ROUND((D48-E48)/D48*C48,2)</f>
        <v/>
      </c>
      <c r="G48" s="220">
        <f>ROUND(C48*0,2)</f>
        <v/>
      </c>
      <c r="H48" s="220" t="n">
        <v>0</v>
      </c>
    </row>
    <row r="49" ht="28" customHeight="1" s="132">
      <c r="A49" s="220" t="inlineStr">
        <is>
          <t>A38</t>
        </is>
      </c>
      <c r="B49" s="220" t="inlineStr">
        <is>
          <t>LCC-2403931</t>
        </is>
      </c>
      <c r="C49" s="220" t="n">
        <v>178.5</v>
      </c>
      <c r="D49" s="220" t="n">
        <v>365</v>
      </c>
      <c r="E49" s="220" t="n">
        <v>401</v>
      </c>
      <c r="F49" s="220">
        <f>ROUND((D49-E49)/D49*C49,2)</f>
        <v/>
      </c>
      <c r="G49" s="220">
        <f>ROUND(C49*0,2)</f>
        <v/>
      </c>
      <c r="H49" s="220" t="n">
        <v>0</v>
      </c>
    </row>
    <row r="50" ht="28" customHeight="1" s="132">
      <c r="A50" s="220" t="inlineStr">
        <is>
          <t>A39</t>
        </is>
      </c>
      <c r="B50" s="220" t="inlineStr">
        <is>
          <t>LCC-2403930</t>
        </is>
      </c>
      <c r="C50" s="220" t="n">
        <v>178.5</v>
      </c>
      <c r="D50" s="220" t="n">
        <v>365</v>
      </c>
      <c r="E50" s="220" t="n">
        <v>401</v>
      </c>
      <c r="F50" s="220">
        <f>ROUND((D50-E50)/D50*C50,2)</f>
        <v/>
      </c>
      <c r="G50" s="220">
        <f>ROUND(C50*0,2)</f>
        <v/>
      </c>
      <c r="H50" s="220" t="n">
        <v>0</v>
      </c>
    </row>
    <row r="51" ht="28" customHeight="1" s="132">
      <c r="A51" s="220" t="inlineStr">
        <is>
          <t>A40</t>
        </is>
      </c>
      <c r="B51" s="220" t="inlineStr">
        <is>
          <t>LCC-2403933</t>
        </is>
      </c>
      <c r="C51" s="220" t="n">
        <v>5100</v>
      </c>
      <c r="D51" s="220" t="n">
        <v>365</v>
      </c>
      <c r="E51" s="220" t="n">
        <v>426</v>
      </c>
      <c r="F51" s="220">
        <f>ROUND((D51-E51)/D51*C51,2)</f>
        <v/>
      </c>
      <c r="G51" s="220">
        <f>ROUND(C51*0,2)</f>
        <v/>
      </c>
      <c r="H51" s="220" t="n">
        <v>0</v>
      </c>
    </row>
    <row r="52" ht="28" customHeight="1" s="132">
      <c r="A52" s="220" t="inlineStr">
        <is>
          <t>A41</t>
        </is>
      </c>
      <c r="B52" s="220" t="inlineStr">
        <is>
          <t>LCC-2403934</t>
        </is>
      </c>
      <c r="C52" s="220" t="n">
        <v>178.5</v>
      </c>
      <c r="D52" s="220" t="n">
        <v>365</v>
      </c>
      <c r="E52" s="220" t="n">
        <v>399</v>
      </c>
      <c r="F52" s="220">
        <f>ROUND((D52-E52)/D52*C52,2)</f>
        <v/>
      </c>
      <c r="G52" s="220">
        <f>ROUND(C52*0,2)</f>
        <v/>
      </c>
      <c r="H52" s="220" t="n">
        <v>0</v>
      </c>
    </row>
    <row r="53" ht="28" customHeight="1" s="132">
      <c r="A53" s="220" t="inlineStr">
        <is>
          <t>A42</t>
        </is>
      </c>
      <c r="B53" s="220" t="inlineStr">
        <is>
          <t>LCC-2403935</t>
        </is>
      </c>
      <c r="C53" s="220" t="n">
        <v>125</v>
      </c>
      <c r="D53" s="220" t="n">
        <v>365</v>
      </c>
      <c r="E53" s="220" t="n">
        <v>396</v>
      </c>
      <c r="F53" s="220">
        <f>ROUND((D53-E53)/D53*C53,2)</f>
        <v/>
      </c>
      <c r="G53" s="220">
        <f>ROUND(C53*0,2)</f>
        <v/>
      </c>
      <c r="H53" s="220" t="n">
        <v>0</v>
      </c>
    </row>
    <row r="54" ht="28" customHeight="1" s="132">
      <c r="A54" s="220" t="inlineStr">
        <is>
          <t>A43</t>
        </is>
      </c>
      <c r="B54" s="220" t="inlineStr">
        <is>
          <t>LCC-2403937</t>
        </is>
      </c>
      <c r="C54" s="220" t="n">
        <v>2934.2</v>
      </c>
      <c r="D54" s="220" t="n">
        <v>365</v>
      </c>
      <c r="E54" s="220" t="n">
        <v>427</v>
      </c>
      <c r="F54" s="220">
        <f>ROUND((D54-E54)/D54*C54,2)</f>
        <v/>
      </c>
      <c r="G54" s="220">
        <f>ROUND(C54*0,2)</f>
        <v/>
      </c>
      <c r="H54" s="220" t="n">
        <v>0</v>
      </c>
    </row>
    <row r="55" ht="28" customHeight="1" s="132">
      <c r="A55" s="220" t="inlineStr">
        <is>
          <t>A44</t>
        </is>
      </c>
      <c r="B55" s="220" t="inlineStr">
        <is>
          <t>LCC-2403939</t>
        </is>
      </c>
      <c r="C55" s="220" t="n">
        <v>178.5</v>
      </c>
      <c r="D55" s="220" t="n">
        <v>365</v>
      </c>
      <c r="E55" s="220" t="n">
        <v>391</v>
      </c>
      <c r="F55" s="220">
        <f>ROUND((D55-E55)/D55*C55,2)</f>
        <v/>
      </c>
      <c r="G55" s="220">
        <f>ROUND(C55*0,2)</f>
        <v/>
      </c>
      <c r="H55" s="220" t="n">
        <v>0</v>
      </c>
    </row>
    <row r="56" ht="28" customHeight="1" s="132">
      <c r="A56" s="220" t="inlineStr">
        <is>
          <t>A45</t>
        </is>
      </c>
      <c r="B56" s="220" t="inlineStr">
        <is>
          <t>LCC-2403940</t>
        </is>
      </c>
      <c r="C56" s="220" t="n">
        <v>178.5</v>
      </c>
      <c r="D56" s="220" t="n">
        <v>365</v>
      </c>
      <c r="E56" s="220" t="n">
        <v>391</v>
      </c>
      <c r="F56" s="220">
        <f>ROUND((D56-E56)/D56*C56,2)</f>
        <v/>
      </c>
      <c r="G56" s="220">
        <f>ROUND(C56*0,2)</f>
        <v/>
      </c>
      <c r="H56" s="220" t="n">
        <v>0</v>
      </c>
    </row>
    <row r="57" ht="28" customHeight="1" s="132">
      <c r="A57" s="220" t="inlineStr">
        <is>
          <t>A46</t>
        </is>
      </c>
      <c r="B57" s="220" t="inlineStr">
        <is>
          <t>LCC-2403938</t>
        </is>
      </c>
      <c r="C57" s="220" t="n">
        <v>523.6</v>
      </c>
      <c r="D57" s="220" t="n">
        <v>365</v>
      </c>
      <c r="E57" s="220" t="n">
        <v>391</v>
      </c>
      <c r="F57" s="220">
        <f>ROUND((D57-E57)/D57*C57,2)</f>
        <v/>
      </c>
      <c r="G57" s="220">
        <f>ROUND(C57*0,2)</f>
        <v/>
      </c>
      <c r="H57" s="220" t="n">
        <v>0</v>
      </c>
    </row>
    <row r="58" ht="28" customHeight="1" s="132">
      <c r="A58" s="220" t="inlineStr">
        <is>
          <t>A47</t>
        </is>
      </c>
      <c r="B58" s="220" t="inlineStr">
        <is>
          <t>LCC-2403942</t>
        </is>
      </c>
      <c r="C58" s="220" t="n">
        <v>178.5</v>
      </c>
      <c r="D58" s="220" t="n">
        <v>365</v>
      </c>
      <c r="E58" s="220" t="n">
        <v>387</v>
      </c>
      <c r="F58" s="220">
        <f>ROUND((D58-E58)/D58*C58,2)</f>
        <v/>
      </c>
      <c r="G58" s="220">
        <f>ROUND(C58*0,2)</f>
        <v/>
      </c>
      <c r="H58" s="220" t="n">
        <v>0</v>
      </c>
    </row>
    <row r="59" ht="28" customHeight="1" s="132">
      <c r="A59" s="220" t="inlineStr">
        <is>
          <t>A48</t>
        </is>
      </c>
      <c r="B59" s="220" t="inlineStr">
        <is>
          <t>LCC-2403941</t>
        </is>
      </c>
      <c r="C59" s="220" t="n">
        <v>2167.5</v>
      </c>
      <c r="D59" s="220" t="n">
        <v>365</v>
      </c>
      <c r="E59" s="220" t="n">
        <v>365</v>
      </c>
      <c r="F59" s="220">
        <f>ROUND((D59-E59)/D59*C59,2)</f>
        <v/>
      </c>
      <c r="G59" s="220">
        <f>ROUND(C59*0,2)</f>
        <v/>
      </c>
      <c r="H59" s="220" t="n">
        <v>0</v>
      </c>
    </row>
    <row r="60" ht="28" customHeight="1" s="132">
      <c r="A60" s="220" t="inlineStr">
        <is>
          <t>A49</t>
        </is>
      </c>
      <c r="B60" s="220" t="inlineStr">
        <is>
          <t>LCC-2403943</t>
        </is>
      </c>
      <c r="C60" s="220" t="n">
        <v>178.5</v>
      </c>
      <c r="D60" s="220" t="n">
        <v>365</v>
      </c>
      <c r="E60" s="220" t="n">
        <v>386</v>
      </c>
      <c r="F60" s="220">
        <f>ROUND((D60-E60)/D60*C60,2)</f>
        <v/>
      </c>
      <c r="G60" s="220">
        <f>ROUND(C60*0,2)</f>
        <v/>
      </c>
      <c r="H60" s="220" t="n">
        <v>0</v>
      </c>
    </row>
    <row r="61" ht="28" customHeight="1" s="132">
      <c r="A61" s="220" t="inlineStr">
        <is>
          <t>A50</t>
        </is>
      </c>
      <c r="B61" s="220" t="inlineStr">
        <is>
          <t>LCC-2403945</t>
        </is>
      </c>
      <c r="C61" s="220" t="n">
        <v>1032.75</v>
      </c>
      <c r="D61" s="220" t="n">
        <v>365</v>
      </c>
      <c r="E61" s="220" t="n">
        <v>385</v>
      </c>
      <c r="F61" s="220">
        <f>ROUND((D61-E61)/D61*C61,2)</f>
        <v/>
      </c>
      <c r="G61" s="220">
        <f>ROUND(C61*0,2)</f>
        <v/>
      </c>
      <c r="H61" s="220" t="n">
        <v>0</v>
      </c>
    </row>
    <row r="62" ht="28" customHeight="1" s="132">
      <c r="A62" s="220" t="inlineStr">
        <is>
          <t>A51</t>
        </is>
      </c>
      <c r="B62" s="220" t="inlineStr">
        <is>
          <t>LCC-2403944</t>
        </is>
      </c>
      <c r="C62" s="220" t="n">
        <v>178.5</v>
      </c>
      <c r="D62" s="220" t="n">
        <v>365</v>
      </c>
      <c r="E62" s="220" t="n">
        <v>386</v>
      </c>
      <c r="F62" s="220">
        <f>ROUND((D62-E62)/D62*C62,2)</f>
        <v/>
      </c>
      <c r="G62" s="220">
        <f>ROUND(C62*0,2)</f>
        <v/>
      </c>
      <c r="H62" s="220" t="n">
        <v>0</v>
      </c>
    </row>
    <row r="63" ht="28" customHeight="1" s="132">
      <c r="A63" s="220" t="inlineStr">
        <is>
          <t>A52</t>
        </is>
      </c>
      <c r="B63" s="220" t="inlineStr">
        <is>
          <t>LCC-2403946</t>
        </is>
      </c>
      <c r="C63" s="220" t="n">
        <v>178.5</v>
      </c>
      <c r="D63" s="220" t="n">
        <v>365</v>
      </c>
      <c r="E63" s="220" t="n">
        <v>383</v>
      </c>
      <c r="F63" s="220">
        <f>ROUND((D63-E63)/D63*C63,2)</f>
        <v/>
      </c>
      <c r="G63" s="220">
        <f>ROUND(C63*0,2)</f>
        <v/>
      </c>
      <c r="H63" s="220" t="n">
        <v>0</v>
      </c>
    </row>
    <row r="64" ht="28" customHeight="1" s="132">
      <c r="A64" s="220" t="inlineStr">
        <is>
          <t>A53</t>
        </is>
      </c>
      <c r="B64" s="220" t="inlineStr">
        <is>
          <t>LCC-2403947</t>
        </is>
      </c>
      <c r="C64" s="220" t="n">
        <v>642.26</v>
      </c>
      <c r="D64" s="220" t="n">
        <v>365</v>
      </c>
      <c r="E64" s="220" t="n">
        <v>377</v>
      </c>
      <c r="F64" s="220">
        <f>ROUND((D64-E64)/D64*C64,2)</f>
        <v/>
      </c>
      <c r="G64" s="220">
        <f>ROUND(C64*0,2)</f>
        <v/>
      </c>
      <c r="H64" s="220" t="n">
        <v>0</v>
      </c>
    </row>
    <row r="65" ht="28" customHeight="1" s="132">
      <c r="A65" s="220" t="inlineStr">
        <is>
          <t>A54</t>
        </is>
      </c>
      <c r="B65" s="220" t="inlineStr">
        <is>
          <t>LCC-2403948</t>
        </is>
      </c>
      <c r="C65" s="220" t="n">
        <v>1021.7</v>
      </c>
      <c r="D65" s="220" t="n">
        <v>365</v>
      </c>
      <c r="E65" s="220" t="n">
        <v>377</v>
      </c>
      <c r="F65" s="220">
        <f>ROUND((D65-E65)/D65*C65,2)</f>
        <v/>
      </c>
      <c r="G65" s="220">
        <f>ROUND(C65*0,2)</f>
        <v/>
      </c>
      <c r="H65" s="220" t="n">
        <v>0</v>
      </c>
    </row>
    <row r="66" ht="28" customHeight="1" s="132">
      <c r="A66" s="220" t="inlineStr">
        <is>
          <t>A55</t>
        </is>
      </c>
      <c r="B66" s="220" t="inlineStr">
        <is>
          <t>LCC-2403949</t>
        </is>
      </c>
      <c r="C66" s="220" t="n">
        <v>178.5</v>
      </c>
      <c r="D66" s="220" t="n">
        <v>365</v>
      </c>
      <c r="E66" s="220" t="n">
        <v>379</v>
      </c>
      <c r="F66" s="220">
        <f>ROUND((D66-E66)/D66*C66,2)</f>
        <v/>
      </c>
      <c r="G66" s="220">
        <f>ROUND(C66*0,2)</f>
        <v/>
      </c>
      <c r="H66" s="220" t="n">
        <v>0</v>
      </c>
    </row>
    <row r="67" ht="28" customHeight="1" s="132">
      <c r="A67" s="220" t="inlineStr">
        <is>
          <t>A56</t>
        </is>
      </c>
      <c r="B67" s="220" t="inlineStr">
        <is>
          <t>LCC-2403951</t>
        </is>
      </c>
      <c r="C67" s="220" t="n">
        <v>178.5</v>
      </c>
      <c r="D67" s="220" t="n">
        <v>365</v>
      </c>
      <c r="E67" s="220" t="n">
        <v>376</v>
      </c>
      <c r="F67" s="220">
        <f>ROUND((D67-E67)/D67*C67,2)</f>
        <v/>
      </c>
      <c r="G67" s="220">
        <f>ROUND(C67*0,2)</f>
        <v/>
      </c>
      <c r="H67" s="220" t="n">
        <v>0</v>
      </c>
    </row>
    <row r="68" ht="28" customHeight="1" s="132">
      <c r="A68" s="220" t="inlineStr">
        <is>
          <t>A57</t>
        </is>
      </c>
      <c r="B68" s="220" t="inlineStr">
        <is>
          <t>LCC-2403953</t>
        </is>
      </c>
      <c r="C68" s="220" t="n">
        <v>425</v>
      </c>
      <c r="D68" s="220" t="n">
        <v>365</v>
      </c>
      <c r="E68" s="220" t="n">
        <v>377</v>
      </c>
      <c r="F68" s="220">
        <f>ROUND((D68-E68)/D68*C68,2)</f>
        <v/>
      </c>
      <c r="G68" s="220">
        <f>ROUND(C68*0,2)</f>
        <v/>
      </c>
      <c r="H68" s="220" t="n">
        <v>0</v>
      </c>
    </row>
    <row r="69" ht="28" customHeight="1" s="132">
      <c r="A69" s="220" t="inlineStr">
        <is>
          <t>A58</t>
        </is>
      </c>
      <c r="B69" s="220" t="inlineStr">
        <is>
          <t>LCC-2403954</t>
        </is>
      </c>
      <c r="C69" s="220" t="n">
        <v>99387.10000000001</v>
      </c>
      <c r="D69" s="220" t="n">
        <v>365</v>
      </c>
      <c r="E69" s="220" t="n">
        <v>373</v>
      </c>
      <c r="F69" s="220">
        <f>ROUND((D69-E69)/D69*C69,2)</f>
        <v/>
      </c>
      <c r="G69" s="220">
        <f>ROUND(C69*0,2)</f>
        <v/>
      </c>
      <c r="H69" s="220" t="n">
        <v>0</v>
      </c>
    </row>
    <row r="70" ht="28" customHeight="1" s="132">
      <c r="A70" s="220" t="inlineStr">
        <is>
          <t>A59</t>
        </is>
      </c>
      <c r="B70" s="220" t="inlineStr">
        <is>
          <t>LCC-2403955</t>
        </is>
      </c>
      <c r="C70" s="220" t="n">
        <v>178.5</v>
      </c>
      <c r="D70" s="220" t="n">
        <v>365</v>
      </c>
      <c r="E70" s="220" t="n">
        <v>371</v>
      </c>
      <c r="F70" s="220">
        <f>ROUND((D70-E70)/D70*C70,2)</f>
        <v/>
      </c>
      <c r="G70" s="220">
        <f>ROUND(C70*0,2)</f>
        <v/>
      </c>
      <c r="H70" s="220" t="n">
        <v>0</v>
      </c>
    </row>
    <row r="71" ht="28" customHeight="1" s="132">
      <c r="A71" s="220" t="inlineStr">
        <is>
          <t>A60</t>
        </is>
      </c>
      <c r="B71" s="220" t="inlineStr">
        <is>
          <t>LCC-2403959</t>
        </is>
      </c>
      <c r="C71" s="220" t="n">
        <v>178.5</v>
      </c>
      <c r="D71" s="220" t="n">
        <v>365</v>
      </c>
      <c r="E71" s="220" t="n">
        <v>370</v>
      </c>
      <c r="F71" s="220">
        <f>ROUND((D71-E71)/D71*C71,2)</f>
        <v/>
      </c>
      <c r="G71" s="220">
        <f>ROUND(C71*0,2)</f>
        <v/>
      </c>
      <c r="H71" s="220" t="n">
        <v>0</v>
      </c>
    </row>
    <row r="72" ht="28" customHeight="1" s="132">
      <c r="A72" s="220" t="inlineStr">
        <is>
          <t>A61</t>
        </is>
      </c>
      <c r="B72" s="220" t="inlineStr">
        <is>
          <t>LCC-2403957</t>
        </is>
      </c>
      <c r="C72" s="220" t="n">
        <v>297.5</v>
      </c>
      <c r="D72" s="220" t="n">
        <v>365</v>
      </c>
      <c r="E72" s="220" t="n">
        <v>371</v>
      </c>
      <c r="F72" s="220">
        <f>ROUND((D72-E72)/D72*C72,2)</f>
        <v/>
      </c>
      <c r="G72" s="220">
        <f>ROUND(C72*0,2)</f>
        <v/>
      </c>
      <c r="H72" s="220" t="n">
        <v>0</v>
      </c>
    </row>
    <row r="73" ht="28" customHeight="1" s="132">
      <c r="A73" s="220" t="inlineStr">
        <is>
          <t>A62</t>
        </is>
      </c>
      <c r="B73" s="220" t="inlineStr">
        <is>
          <t>LCC-2403956</t>
        </is>
      </c>
      <c r="C73" s="220" t="n">
        <v>178.5</v>
      </c>
      <c r="D73" s="220" t="n">
        <v>365</v>
      </c>
      <c r="E73" s="220" t="n">
        <v>371</v>
      </c>
      <c r="F73" s="220">
        <f>ROUND((D73-E73)/D73*C73,2)</f>
        <v/>
      </c>
      <c r="G73" s="220">
        <f>ROUND(C73*0,2)</f>
        <v/>
      </c>
      <c r="H73" s="220" t="n">
        <v>0</v>
      </c>
    </row>
    <row r="74" ht="28" customHeight="1" s="132">
      <c r="A74" s="220" t="inlineStr">
        <is>
          <t>A63</t>
        </is>
      </c>
      <c r="B74" s="220" t="inlineStr">
        <is>
          <t>LCC-2403962</t>
        </is>
      </c>
      <c r="C74" s="220" t="n">
        <v>3612.5</v>
      </c>
      <c r="D74" s="220" t="n">
        <v>365</v>
      </c>
      <c r="E74" s="220" t="n">
        <v>382</v>
      </c>
      <c r="F74" s="220">
        <f>ROUND((D74-E74)/D74*C74,2)</f>
        <v/>
      </c>
      <c r="G74" s="220">
        <f>ROUND(C74*0,2)</f>
        <v/>
      </c>
      <c r="H74" s="220" t="n">
        <v>0</v>
      </c>
    </row>
    <row r="75" ht="28" customHeight="1" s="132">
      <c r="A75" s="220" t="inlineStr">
        <is>
          <t>A64</t>
        </is>
      </c>
      <c r="B75" s="220" t="inlineStr">
        <is>
          <t>LCC-2403961</t>
        </is>
      </c>
      <c r="C75" s="220" t="n">
        <v>7225</v>
      </c>
      <c r="D75" s="220" t="n">
        <v>365</v>
      </c>
      <c r="E75" s="220" t="n">
        <v>382</v>
      </c>
      <c r="F75" s="220">
        <f>ROUND((D75-E75)/D75*C75,2)</f>
        <v/>
      </c>
      <c r="G75" s="220">
        <f>ROUND(C75*0,2)</f>
        <v/>
      </c>
      <c r="H75" s="220" t="n">
        <v>0</v>
      </c>
    </row>
    <row r="76" ht="28" customHeight="1" s="132">
      <c r="A76" s="220" t="inlineStr">
        <is>
          <t>A65</t>
        </is>
      </c>
      <c r="B76" s="220" t="inlineStr">
        <is>
          <t>LCC-2503964</t>
        </is>
      </c>
      <c r="C76" s="220" t="n">
        <v>23906.17</v>
      </c>
      <c r="D76" s="220" t="n">
        <v>365</v>
      </c>
      <c r="E76" s="220" t="n">
        <v>364</v>
      </c>
      <c r="F76" s="220">
        <f>ROUND((D76-E76)/D76*C76,2)</f>
        <v/>
      </c>
      <c r="G76" s="220">
        <f>ROUND(C76*0,2)</f>
        <v/>
      </c>
      <c r="H76" s="220" t="n">
        <v>0</v>
      </c>
    </row>
    <row r="77" ht="28" customHeight="1" s="132">
      <c r="A77" s="220" t="inlineStr">
        <is>
          <t>A66</t>
        </is>
      </c>
      <c r="B77" s="220" t="inlineStr">
        <is>
          <t>LCC-2503965</t>
        </is>
      </c>
      <c r="C77" s="220" t="n">
        <v>297.5</v>
      </c>
      <c r="D77" s="220" t="n">
        <v>365</v>
      </c>
      <c r="E77" s="220" t="n">
        <v>357</v>
      </c>
      <c r="F77" s="220">
        <f>ROUND((D77-E77)/D77*C77,2)</f>
        <v/>
      </c>
      <c r="G77" s="220">
        <f>ROUND(C77*0,2)</f>
        <v/>
      </c>
      <c r="H77" s="220" t="n">
        <v>0</v>
      </c>
    </row>
    <row r="78" ht="28" customHeight="1" s="132">
      <c r="A78" s="220" t="inlineStr">
        <is>
          <t>A67</t>
        </is>
      </c>
      <c r="B78" s="220" t="inlineStr">
        <is>
          <t>LCC-2503967</t>
        </is>
      </c>
      <c r="C78" s="220" t="n">
        <v>2625.3</v>
      </c>
      <c r="D78" s="220" t="n">
        <v>365</v>
      </c>
      <c r="E78" s="220" t="n">
        <v>365</v>
      </c>
      <c r="F78" s="220">
        <f>ROUND((D78-E78)/D78*C78,2)</f>
        <v/>
      </c>
      <c r="G78" s="220">
        <f>ROUND(C78*0,2)</f>
        <v/>
      </c>
      <c r="H78" s="220" t="n">
        <v>0</v>
      </c>
    </row>
    <row r="79" ht="28" customHeight="1" s="132">
      <c r="A79" s="220" t="inlineStr">
        <is>
          <t>A68</t>
        </is>
      </c>
      <c r="B79" s="220" t="inlineStr">
        <is>
          <t>LCC-2503968</t>
        </is>
      </c>
      <c r="C79" s="220" t="n">
        <v>850</v>
      </c>
      <c r="D79" s="220" t="n">
        <v>365</v>
      </c>
      <c r="E79" s="220" t="n">
        <v>352</v>
      </c>
      <c r="F79" s="220">
        <f>ROUND((D79-E79)/D79*C79,2)</f>
        <v/>
      </c>
      <c r="G79" s="220">
        <f>ROUND(C79*0,2)</f>
        <v/>
      </c>
      <c r="H79" s="220" t="n">
        <v>0</v>
      </c>
    </row>
    <row r="80" ht="28" customHeight="1" s="132">
      <c r="A80" s="220" t="inlineStr">
        <is>
          <t>A69</t>
        </is>
      </c>
      <c r="B80" s="220" t="inlineStr">
        <is>
          <t>LCC-2503970</t>
        </is>
      </c>
      <c r="C80" s="220" t="n">
        <v>16357</v>
      </c>
      <c r="D80" s="220" t="n">
        <v>365</v>
      </c>
      <c r="E80" s="220" t="n">
        <v>365</v>
      </c>
      <c r="F80" s="220">
        <f>ROUND((D80-E80)/D80*C80,2)</f>
        <v/>
      </c>
      <c r="G80" s="220">
        <f>ROUND(C80*0,2)</f>
        <v/>
      </c>
      <c r="H80" s="220" t="n">
        <v>0</v>
      </c>
    </row>
    <row r="81" ht="28" customHeight="1" s="132">
      <c r="A81" s="220" t="inlineStr">
        <is>
          <t>A70</t>
        </is>
      </c>
      <c r="B81" s="220" t="inlineStr">
        <is>
          <t>LCC-2503971</t>
        </is>
      </c>
      <c r="C81" s="220" t="n">
        <v>212.5</v>
      </c>
      <c r="D81" s="220" t="n">
        <v>365</v>
      </c>
      <c r="E81" s="220" t="n">
        <v>351</v>
      </c>
      <c r="F81" s="220">
        <f>ROUND((D81-E81)/D81*C81,2)</f>
        <v/>
      </c>
      <c r="G81" s="220">
        <f>ROUND(C81*0,2)</f>
        <v/>
      </c>
      <c r="H81" s="220" t="n">
        <v>0</v>
      </c>
    </row>
    <row r="82" ht="28" customHeight="1" s="132">
      <c r="A82" s="220" t="inlineStr">
        <is>
          <t>A71</t>
        </is>
      </c>
      <c r="B82" s="220" t="inlineStr">
        <is>
          <t>LCC-2503972</t>
        </is>
      </c>
      <c r="C82" s="220" t="n">
        <v>178.5</v>
      </c>
      <c r="D82" s="220" t="n">
        <v>365</v>
      </c>
      <c r="E82" s="220" t="n">
        <v>351</v>
      </c>
      <c r="F82" s="220">
        <f>ROUND((D82-E82)/D82*C82,2)</f>
        <v/>
      </c>
      <c r="G82" s="220">
        <f>ROUND(C82*0,2)</f>
        <v/>
      </c>
      <c r="H82" s="220" t="n">
        <v>0</v>
      </c>
    </row>
    <row r="83" ht="28" customHeight="1" s="132">
      <c r="A83" s="220" t="inlineStr">
        <is>
          <t>A72</t>
        </is>
      </c>
      <c r="B83" s="220" t="inlineStr">
        <is>
          <t>LCC-2503980</t>
        </is>
      </c>
      <c r="C83" s="220" t="n">
        <v>212.5</v>
      </c>
      <c r="D83" s="220" t="n">
        <v>365</v>
      </c>
      <c r="E83" s="220" t="n">
        <v>349</v>
      </c>
      <c r="F83" s="220">
        <f>ROUND((D83-E83)/D83*C83,2)</f>
        <v/>
      </c>
      <c r="G83" s="220">
        <f>ROUND(C83*0,2)</f>
        <v/>
      </c>
      <c r="H83" s="220" t="n">
        <v>0</v>
      </c>
    </row>
    <row r="84" ht="28" customHeight="1" s="132">
      <c r="A84" s="220" t="inlineStr">
        <is>
          <t>A73</t>
        </is>
      </c>
      <c r="B84" s="220" t="inlineStr">
        <is>
          <t>LCC-2503977</t>
        </is>
      </c>
      <c r="C84" s="220" t="n">
        <v>212.5</v>
      </c>
      <c r="D84" s="220" t="n">
        <v>365</v>
      </c>
      <c r="E84" s="220" t="n">
        <v>350</v>
      </c>
      <c r="F84" s="220">
        <f>ROUND((D84-E84)/D84*C84,2)</f>
        <v/>
      </c>
      <c r="G84" s="220">
        <f>ROUND(C84*0,2)</f>
        <v/>
      </c>
      <c r="H84" s="220" t="n">
        <v>0</v>
      </c>
    </row>
    <row r="85" ht="28" customHeight="1" s="132">
      <c r="A85" s="220" t="inlineStr">
        <is>
          <t>A74</t>
        </is>
      </c>
      <c r="B85" s="220" t="inlineStr">
        <is>
          <t>LCP-2503978</t>
        </is>
      </c>
      <c r="C85" s="220" t="n">
        <v>212.5</v>
      </c>
      <c r="D85" s="220" t="n">
        <v>365</v>
      </c>
      <c r="E85" s="220" t="n">
        <v>349</v>
      </c>
      <c r="F85" s="220">
        <f>ROUND((D85-E85)/D85*C85,2)</f>
        <v/>
      </c>
      <c r="G85" s="220">
        <f>ROUND(C85*0,2)</f>
        <v/>
      </c>
      <c r="H85" s="220" t="n">
        <v>0</v>
      </c>
    </row>
    <row r="86" ht="28" customHeight="1" s="132">
      <c r="A86" s="220" t="inlineStr">
        <is>
          <t>A75</t>
        </is>
      </c>
      <c r="B86" s="220" t="inlineStr">
        <is>
          <t>LCC-2503979</t>
        </is>
      </c>
      <c r="C86" s="220" t="n">
        <v>212.5</v>
      </c>
      <c r="D86" s="220" t="n">
        <v>365</v>
      </c>
      <c r="E86" s="220" t="n">
        <v>349</v>
      </c>
      <c r="F86" s="220">
        <f>ROUND((D86-E86)/D86*C86,2)</f>
        <v/>
      </c>
      <c r="G86" s="220">
        <f>ROUND(C86*0,2)</f>
        <v/>
      </c>
      <c r="H86" s="220" t="n">
        <v>0</v>
      </c>
    </row>
    <row r="87" ht="28" customHeight="1" s="132">
      <c r="A87" s="220" t="inlineStr">
        <is>
          <t>A76</t>
        </is>
      </c>
      <c r="B87" s="220" t="inlineStr">
        <is>
          <t>LCC-2503981</t>
        </is>
      </c>
      <c r="C87" s="220" t="n">
        <v>212.5</v>
      </c>
      <c r="D87" s="220" t="n">
        <v>365</v>
      </c>
      <c r="E87" s="220" t="n">
        <v>349</v>
      </c>
      <c r="F87" s="220">
        <f>ROUND((D87-E87)/D87*C87,2)</f>
        <v/>
      </c>
      <c r="G87" s="220">
        <f>ROUND(C87*0,2)</f>
        <v/>
      </c>
      <c r="H87" s="220" t="n">
        <v>0</v>
      </c>
    </row>
    <row r="88" ht="28" customHeight="1" s="132">
      <c r="A88" s="220" t="inlineStr">
        <is>
          <t>A77</t>
        </is>
      </c>
      <c r="B88" s="220" t="inlineStr">
        <is>
          <t>LCP-2503986</t>
        </is>
      </c>
      <c r="C88" s="220" t="n">
        <v>212.5</v>
      </c>
      <c r="D88" s="220" t="n">
        <v>365</v>
      </c>
      <c r="E88" s="220" t="n">
        <v>348</v>
      </c>
      <c r="F88" s="220">
        <f>ROUND((D88-E88)/D88*C88,2)</f>
        <v/>
      </c>
      <c r="G88" s="220">
        <f>ROUND(C88*0,2)</f>
        <v/>
      </c>
      <c r="H88" s="220" t="n">
        <v>0</v>
      </c>
    </row>
    <row r="89" ht="28" customHeight="1" s="132">
      <c r="A89" s="220" t="inlineStr">
        <is>
          <t>A78</t>
        </is>
      </c>
      <c r="B89" s="220" t="inlineStr">
        <is>
          <t>LCC-2503992</t>
        </is>
      </c>
      <c r="C89" s="220" t="n">
        <v>178.5</v>
      </c>
      <c r="D89" s="220" t="n">
        <v>365</v>
      </c>
      <c r="E89" s="220" t="n">
        <v>348</v>
      </c>
      <c r="F89" s="220">
        <f>ROUND((D89-E89)/D89*C89,2)</f>
        <v/>
      </c>
      <c r="G89" s="220">
        <f>ROUND(C89*0,2)</f>
        <v/>
      </c>
      <c r="H89" s="220" t="n">
        <v>0</v>
      </c>
    </row>
    <row r="90" ht="28" customHeight="1" s="132">
      <c r="A90" s="220" t="inlineStr">
        <is>
          <t>A79</t>
        </is>
      </c>
      <c r="B90" s="220" t="inlineStr">
        <is>
          <t>LCP-2503988</t>
        </is>
      </c>
      <c r="C90" s="220" t="n">
        <v>212.5</v>
      </c>
      <c r="D90" s="220" t="n">
        <v>365</v>
      </c>
      <c r="E90" s="220" t="n">
        <v>349</v>
      </c>
      <c r="F90" s="220">
        <f>ROUND((D90-E90)/D90*C90,2)</f>
        <v/>
      </c>
      <c r="G90" s="220">
        <f>ROUND(C90*0,2)</f>
        <v/>
      </c>
      <c r="H90" s="220" t="n">
        <v>0</v>
      </c>
    </row>
    <row r="91" ht="28" customHeight="1" s="132">
      <c r="A91" s="220" t="inlineStr">
        <is>
          <t>A80</t>
        </is>
      </c>
      <c r="B91" s="220" t="inlineStr">
        <is>
          <t>LCC-2503984</t>
        </is>
      </c>
      <c r="C91" s="220" t="n">
        <v>178.5</v>
      </c>
      <c r="D91" s="220" t="n">
        <v>365</v>
      </c>
      <c r="E91" s="220" t="n">
        <v>348</v>
      </c>
      <c r="F91" s="220">
        <f>ROUND((D91-E91)/D91*C91,2)</f>
        <v/>
      </c>
      <c r="G91" s="220">
        <f>ROUND(C91*0,2)</f>
        <v/>
      </c>
      <c r="H91" s="220" t="n">
        <v>0</v>
      </c>
    </row>
    <row r="92" ht="28" customHeight="1" s="132">
      <c r="A92" s="220" t="inlineStr">
        <is>
          <t>A81</t>
        </is>
      </c>
      <c r="B92" s="220" t="inlineStr">
        <is>
          <t>LCC-2503983</t>
        </is>
      </c>
      <c r="C92" s="220" t="n">
        <v>212.5</v>
      </c>
      <c r="D92" s="220" t="n">
        <v>365</v>
      </c>
      <c r="E92" s="220" t="n">
        <v>348</v>
      </c>
      <c r="F92" s="220">
        <f>ROUND((D92-E92)/D92*C92,2)</f>
        <v/>
      </c>
      <c r="G92" s="220">
        <f>ROUND(C92*0,2)</f>
        <v/>
      </c>
      <c r="H92" s="220" t="n">
        <v>0</v>
      </c>
    </row>
    <row r="93" ht="28" customHeight="1" s="132">
      <c r="A93" s="220" t="inlineStr">
        <is>
          <t>A82</t>
        </is>
      </c>
      <c r="B93" s="220" t="inlineStr">
        <is>
          <t>LCP-2503982</t>
        </is>
      </c>
      <c r="C93" s="220" t="n">
        <v>212.5</v>
      </c>
      <c r="D93" s="220" t="n">
        <v>365</v>
      </c>
      <c r="E93" s="220" t="n">
        <v>349</v>
      </c>
      <c r="F93" s="220">
        <f>ROUND((D93-E93)/D93*C93,2)</f>
        <v/>
      </c>
      <c r="G93" s="220">
        <f>ROUND(C93*0,2)</f>
        <v/>
      </c>
      <c r="H93" s="220" t="n">
        <v>0</v>
      </c>
    </row>
    <row r="94" ht="28" customHeight="1" s="132">
      <c r="A94" s="220" t="inlineStr">
        <is>
          <t>A83</t>
        </is>
      </c>
      <c r="B94" s="220" t="inlineStr">
        <is>
          <t>LCC-2503985</t>
        </is>
      </c>
      <c r="C94" s="220" t="n">
        <v>178.5</v>
      </c>
      <c r="D94" s="220" t="n">
        <v>365</v>
      </c>
      <c r="E94" s="220" t="n">
        <v>348</v>
      </c>
      <c r="F94" s="220">
        <f>ROUND((D94-E94)/D94*C94,2)</f>
        <v/>
      </c>
      <c r="G94" s="220">
        <f>ROUND(C94*0,2)</f>
        <v/>
      </c>
      <c r="H94" s="220" t="n">
        <v>0</v>
      </c>
    </row>
    <row r="95" ht="28" customHeight="1" s="132">
      <c r="A95" s="220" t="inlineStr">
        <is>
          <t>A84</t>
        </is>
      </c>
      <c r="B95" s="220" t="inlineStr">
        <is>
          <t>LCC-2503997</t>
        </is>
      </c>
      <c r="C95" s="220" t="n">
        <v>459</v>
      </c>
      <c r="D95" s="220" t="n">
        <v>365</v>
      </c>
      <c r="E95" s="220" t="n">
        <v>348</v>
      </c>
      <c r="F95" s="220">
        <f>ROUND((D95-E95)/D95*C95,2)</f>
        <v/>
      </c>
      <c r="G95" s="220">
        <f>ROUND(C95*0,2)</f>
        <v/>
      </c>
      <c r="H95" s="220" t="n">
        <v>0</v>
      </c>
    </row>
    <row r="96" ht="28" customHeight="1" s="132">
      <c r="A96" s="220" t="inlineStr">
        <is>
          <t>A85</t>
        </is>
      </c>
      <c r="B96" s="220" t="inlineStr">
        <is>
          <t>LCC-2503995</t>
        </is>
      </c>
      <c r="C96" s="220" t="n">
        <v>212.5</v>
      </c>
      <c r="D96" s="220" t="n">
        <v>365</v>
      </c>
      <c r="E96" s="220" t="n">
        <v>348</v>
      </c>
      <c r="F96" s="220">
        <f>ROUND((D96-E96)/D96*C96,2)</f>
        <v/>
      </c>
      <c r="G96" s="220">
        <f>ROUND(C96*0,2)</f>
        <v/>
      </c>
      <c r="H96" s="220" t="n">
        <v>0</v>
      </c>
    </row>
    <row r="97" ht="28" customHeight="1" s="132">
      <c r="A97" s="220" t="inlineStr">
        <is>
          <t>A86</t>
        </is>
      </c>
      <c r="B97" s="220" t="inlineStr">
        <is>
          <t>LCC-2503994</t>
        </is>
      </c>
      <c r="C97" s="220" t="n">
        <v>212.5</v>
      </c>
      <c r="D97" s="220" t="n">
        <v>365</v>
      </c>
      <c r="E97" s="220" t="n">
        <v>348</v>
      </c>
      <c r="F97" s="220">
        <f>ROUND((D97-E97)/D97*C97,2)</f>
        <v/>
      </c>
      <c r="G97" s="220">
        <f>ROUND(C97*0,2)</f>
        <v/>
      </c>
      <c r="H97" s="220" t="n">
        <v>0</v>
      </c>
    </row>
    <row r="98" ht="28" customHeight="1" s="132">
      <c r="A98" s="220" t="inlineStr">
        <is>
          <t>A87</t>
        </is>
      </c>
      <c r="B98" s="220" t="inlineStr">
        <is>
          <t>LCC-2503996</t>
        </is>
      </c>
      <c r="C98" s="220" t="n">
        <v>178.5</v>
      </c>
      <c r="D98" s="220" t="n">
        <v>365</v>
      </c>
      <c r="E98" s="220" t="n">
        <v>348</v>
      </c>
      <c r="F98" s="220">
        <f>ROUND((D98-E98)/D98*C98,2)</f>
        <v/>
      </c>
      <c r="G98" s="220">
        <f>ROUND(C98*0,2)</f>
        <v/>
      </c>
      <c r="H98" s="220" t="n">
        <v>0</v>
      </c>
    </row>
    <row r="99" ht="28" customHeight="1" s="132">
      <c r="A99" s="220" t="inlineStr">
        <is>
          <t>A88</t>
        </is>
      </c>
      <c r="B99" s="220" t="inlineStr">
        <is>
          <t>LCC-2503999</t>
        </is>
      </c>
      <c r="C99" s="220" t="n">
        <v>8075</v>
      </c>
      <c r="D99" s="220" t="n">
        <v>365</v>
      </c>
      <c r="E99" s="220" t="n">
        <v>350</v>
      </c>
      <c r="F99" s="220">
        <f>ROUND((D99-E99)/D99*C99,2)</f>
        <v/>
      </c>
      <c r="G99" s="220">
        <f>ROUND(C99*0,2)</f>
        <v/>
      </c>
      <c r="H99" s="220" t="n">
        <v>0</v>
      </c>
    </row>
    <row r="100" ht="28" customHeight="1" s="132">
      <c r="A100" s="220" t="inlineStr">
        <is>
          <t>A89</t>
        </is>
      </c>
      <c r="B100" s="220" t="inlineStr">
        <is>
          <t>LCC-2504002</t>
        </is>
      </c>
      <c r="C100" s="220" t="n">
        <v>212.5</v>
      </c>
      <c r="D100" s="220" t="n">
        <v>365</v>
      </c>
      <c r="E100" s="220" t="n">
        <v>345</v>
      </c>
      <c r="F100" s="220">
        <f>ROUND((D100-E100)/D100*C100,2)</f>
        <v/>
      </c>
      <c r="G100" s="220">
        <f>ROUND(C100*0,2)</f>
        <v/>
      </c>
      <c r="H100" s="220" t="n">
        <v>0</v>
      </c>
    </row>
    <row r="101" ht="28" customHeight="1" s="132">
      <c r="A101" s="220" t="inlineStr">
        <is>
          <t>A90</t>
        </is>
      </c>
      <c r="B101" s="220" t="inlineStr">
        <is>
          <t>LCC-2504000</t>
        </is>
      </c>
      <c r="C101" s="220" t="n">
        <v>11271</v>
      </c>
      <c r="D101" s="220" t="n">
        <v>365</v>
      </c>
      <c r="E101" s="220" t="n">
        <v>355</v>
      </c>
      <c r="F101" s="220">
        <f>ROUND((D101-E101)/D101*C101,2)</f>
        <v/>
      </c>
      <c r="G101" s="220">
        <f>ROUND(C101*0,2)</f>
        <v/>
      </c>
      <c r="H101" s="220" t="n">
        <v>0</v>
      </c>
    </row>
    <row r="102" ht="28" customHeight="1" s="132">
      <c r="A102" s="220" t="inlineStr">
        <is>
          <t>A91</t>
        </is>
      </c>
      <c r="B102" s="220" t="inlineStr">
        <is>
          <t>LCC-2504004</t>
        </is>
      </c>
      <c r="C102" s="220" t="n">
        <v>297.5</v>
      </c>
      <c r="D102" s="220" t="n">
        <v>365</v>
      </c>
      <c r="E102" s="220" t="n">
        <v>344</v>
      </c>
      <c r="F102" s="220">
        <f>ROUND((D102-E102)/D102*C102,2)</f>
        <v/>
      </c>
      <c r="G102" s="220">
        <f>ROUND(C102*0,2)</f>
        <v/>
      </c>
      <c r="H102" s="220" t="n">
        <v>0</v>
      </c>
    </row>
    <row r="103" ht="28" customHeight="1" s="132">
      <c r="A103" s="220" t="inlineStr">
        <is>
          <t>A92</t>
        </is>
      </c>
      <c r="B103" s="220" t="inlineStr">
        <is>
          <t>LCC-2504008</t>
        </is>
      </c>
      <c r="C103" s="220" t="n">
        <v>212.5</v>
      </c>
      <c r="D103" s="220" t="n">
        <v>365</v>
      </c>
      <c r="E103" s="220" t="n">
        <v>344</v>
      </c>
      <c r="F103" s="220">
        <f>ROUND((D103-E103)/D103*C103,2)</f>
        <v/>
      </c>
      <c r="G103" s="220">
        <f>ROUND(C103*0,2)</f>
        <v/>
      </c>
      <c r="H103" s="220" t="n">
        <v>0</v>
      </c>
    </row>
    <row r="104" ht="28" customHeight="1" s="132">
      <c r="A104" s="220" t="inlineStr">
        <is>
          <t>A93</t>
        </is>
      </c>
      <c r="B104" s="220" t="inlineStr">
        <is>
          <t>LCP-2504007</t>
        </is>
      </c>
      <c r="C104" s="220" t="n">
        <v>212.5</v>
      </c>
      <c r="D104" s="220" t="n">
        <v>365</v>
      </c>
      <c r="E104" s="220" t="n">
        <v>344</v>
      </c>
      <c r="F104" s="220">
        <f>ROUND((D104-E104)/D104*C104,2)</f>
        <v/>
      </c>
      <c r="G104" s="220">
        <f>ROUND(C104*0,2)</f>
        <v/>
      </c>
      <c r="H104" s="220" t="n">
        <v>0</v>
      </c>
    </row>
    <row r="105" ht="28" customHeight="1" s="132">
      <c r="A105" s="220" t="inlineStr">
        <is>
          <t>A94</t>
        </is>
      </c>
      <c r="B105" s="220" t="inlineStr">
        <is>
          <t>LCC-2504006</t>
        </is>
      </c>
      <c r="C105" s="220" t="n">
        <v>178.5</v>
      </c>
      <c r="D105" s="220" t="n">
        <v>365</v>
      </c>
      <c r="E105" s="220" t="n">
        <v>344</v>
      </c>
      <c r="F105" s="220">
        <f>ROUND((D105-E105)/D105*C105,2)</f>
        <v/>
      </c>
      <c r="G105" s="220">
        <f>ROUND(C105*0,2)</f>
        <v/>
      </c>
      <c r="H105" s="220" t="n">
        <v>0</v>
      </c>
    </row>
    <row r="106" ht="28" customHeight="1" s="132">
      <c r="A106" s="220" t="inlineStr">
        <is>
          <t>A95</t>
        </is>
      </c>
      <c r="B106" s="220" t="inlineStr">
        <is>
          <t>LCP-2504009</t>
        </is>
      </c>
      <c r="C106" s="220" t="n">
        <v>212.5</v>
      </c>
      <c r="D106" s="220" t="n">
        <v>365</v>
      </c>
      <c r="E106" s="220" t="n">
        <v>344</v>
      </c>
      <c r="F106" s="220">
        <f>ROUND((D106-E106)/D106*C106,2)</f>
        <v/>
      </c>
      <c r="G106" s="220">
        <f>ROUND(C106*0,2)</f>
        <v/>
      </c>
      <c r="H106" s="220" t="n">
        <v>0</v>
      </c>
    </row>
    <row r="107" ht="28" customHeight="1" s="132">
      <c r="A107" s="220" t="inlineStr">
        <is>
          <t>A96</t>
        </is>
      </c>
      <c r="B107" s="220" t="inlineStr">
        <is>
          <t>LCP-2504005</t>
        </is>
      </c>
      <c r="C107" s="220" t="n">
        <v>212.5</v>
      </c>
      <c r="D107" s="220" t="n">
        <v>365</v>
      </c>
      <c r="E107" s="220" t="n">
        <v>344</v>
      </c>
      <c r="F107" s="220">
        <f>ROUND((D107-E107)/D107*C107,2)</f>
        <v/>
      </c>
      <c r="G107" s="220">
        <f>ROUND(C107*0,2)</f>
        <v/>
      </c>
      <c r="H107" s="220" t="n">
        <v>0</v>
      </c>
    </row>
    <row r="108" ht="28" customHeight="1" s="132">
      <c r="A108" s="220" t="inlineStr">
        <is>
          <t>A97</t>
        </is>
      </c>
      <c r="B108" s="220" t="inlineStr">
        <is>
          <t>LCP-2504014</t>
        </is>
      </c>
      <c r="C108" s="220" t="n">
        <v>212.5</v>
      </c>
      <c r="D108" s="220" t="n">
        <v>365</v>
      </c>
      <c r="E108" s="220" t="n">
        <v>342</v>
      </c>
      <c r="F108" s="220">
        <f>ROUND((D108-E108)/D108*C108,2)</f>
        <v/>
      </c>
      <c r="G108" s="220">
        <f>ROUND(C108*0,2)</f>
        <v/>
      </c>
      <c r="H108" s="220" t="n">
        <v>0</v>
      </c>
    </row>
    <row r="109" ht="28" customHeight="1" s="132">
      <c r="A109" s="220" t="inlineStr">
        <is>
          <t>A98</t>
        </is>
      </c>
      <c r="B109" s="220" t="inlineStr">
        <is>
          <t>LCP-2504013</t>
        </is>
      </c>
      <c r="C109" s="220" t="n">
        <v>212.5</v>
      </c>
      <c r="D109" s="220" t="n">
        <v>365</v>
      </c>
      <c r="E109" s="220" t="n">
        <v>342</v>
      </c>
      <c r="F109" s="220">
        <f>ROUND((D109-E109)/D109*C109,2)</f>
        <v/>
      </c>
      <c r="G109" s="220">
        <f>ROUND(C109*0,2)</f>
        <v/>
      </c>
      <c r="H109" s="220" t="n">
        <v>0</v>
      </c>
    </row>
    <row r="110" ht="28" customHeight="1" s="132">
      <c r="A110" s="220" t="inlineStr">
        <is>
          <t>A99</t>
        </is>
      </c>
      <c r="B110" s="220" t="inlineStr">
        <is>
          <t>LCP-2504015</t>
        </is>
      </c>
      <c r="C110" s="220" t="n">
        <v>212.5</v>
      </c>
      <c r="D110" s="220" t="n">
        <v>365</v>
      </c>
      <c r="E110" s="220" t="n">
        <v>342</v>
      </c>
      <c r="F110" s="220">
        <f>ROUND((D110-E110)/D110*C110,2)</f>
        <v/>
      </c>
      <c r="G110" s="220">
        <f>ROUND(C110*0,2)</f>
        <v/>
      </c>
      <c r="H110" s="220" t="n">
        <v>0</v>
      </c>
    </row>
    <row r="111" ht="28" customHeight="1" s="132">
      <c r="A111" s="220" t="inlineStr">
        <is>
          <t>A100</t>
        </is>
      </c>
      <c r="B111" s="220" t="inlineStr">
        <is>
          <t>LCP-2504010</t>
        </is>
      </c>
      <c r="C111" s="220" t="n">
        <v>212.5</v>
      </c>
      <c r="D111" s="220" t="n">
        <v>365</v>
      </c>
      <c r="E111" s="220" t="n">
        <v>344</v>
      </c>
      <c r="F111" s="220">
        <f>ROUND((D111-E111)/D111*C111,2)</f>
        <v/>
      </c>
      <c r="G111" s="220">
        <f>ROUND(C111*0,2)</f>
        <v/>
      </c>
      <c r="H111" s="220" t="n">
        <v>0</v>
      </c>
    </row>
    <row r="112" ht="28" customHeight="1" s="132">
      <c r="A112" s="220" t="inlineStr">
        <is>
          <t>A101</t>
        </is>
      </c>
      <c r="B112" s="220" t="inlineStr">
        <is>
          <t>LCC-2504011</t>
        </is>
      </c>
      <c r="C112" s="220" t="n">
        <v>314.5</v>
      </c>
      <c r="D112" s="220" t="n">
        <v>365</v>
      </c>
      <c r="E112" s="220" t="n">
        <v>342</v>
      </c>
      <c r="F112" s="220">
        <f>ROUND((D112-E112)/D112*C112,2)</f>
        <v/>
      </c>
      <c r="G112" s="220">
        <f>ROUND(C112*0,2)</f>
        <v/>
      </c>
      <c r="H112" s="220" t="n">
        <v>0</v>
      </c>
    </row>
    <row r="113" ht="28" customHeight="1" s="132">
      <c r="A113" s="220" t="inlineStr">
        <is>
          <t>A102</t>
        </is>
      </c>
      <c r="B113" s="220" t="inlineStr">
        <is>
          <t>LCC-2504012</t>
        </is>
      </c>
      <c r="C113" s="220" t="n">
        <v>178.5</v>
      </c>
      <c r="D113" s="220" t="n">
        <v>365</v>
      </c>
      <c r="E113" s="220" t="n">
        <v>342</v>
      </c>
      <c r="F113" s="220">
        <f>ROUND((D113-E113)/D113*C113,2)</f>
        <v/>
      </c>
      <c r="G113" s="220">
        <f>ROUND(C113*0,2)</f>
        <v/>
      </c>
      <c r="H113" s="220" t="n">
        <v>0</v>
      </c>
    </row>
    <row r="114" ht="28" customHeight="1" s="132">
      <c r="A114" s="220" t="inlineStr">
        <is>
          <t>A103</t>
        </is>
      </c>
      <c r="B114" s="220" t="inlineStr">
        <is>
          <t>LCC-2504032</t>
        </is>
      </c>
      <c r="C114" s="220" t="n">
        <v>386.75</v>
      </c>
      <c r="D114" s="220" t="n">
        <v>365</v>
      </c>
      <c r="E114" s="220" t="n">
        <v>341</v>
      </c>
      <c r="F114" s="220">
        <f>ROUND((D114-E114)/D114*C114,2)</f>
        <v/>
      </c>
      <c r="G114" s="220">
        <f>ROUND(C114*0,2)</f>
        <v/>
      </c>
      <c r="H114" s="220" t="n">
        <v>0</v>
      </c>
    </row>
    <row r="115" ht="28" customHeight="1" s="132">
      <c r="A115" s="220" t="inlineStr">
        <is>
          <t>A104</t>
        </is>
      </c>
      <c r="B115" s="220" t="inlineStr">
        <is>
          <t>LCP-2504025</t>
        </is>
      </c>
      <c r="C115" s="220" t="n">
        <v>212.5</v>
      </c>
      <c r="D115" s="220" t="n">
        <v>365</v>
      </c>
      <c r="E115" s="220" t="n">
        <v>342</v>
      </c>
      <c r="F115" s="220">
        <f>ROUND((D115-E115)/D115*C115,2)</f>
        <v/>
      </c>
      <c r="G115" s="220">
        <f>ROUND(C115*0,2)</f>
        <v/>
      </c>
      <c r="H115" s="220" t="n">
        <v>0</v>
      </c>
    </row>
    <row r="116" ht="28" customHeight="1" s="132">
      <c r="A116" s="220" t="inlineStr">
        <is>
          <t>A105</t>
        </is>
      </c>
      <c r="B116" s="220" t="inlineStr">
        <is>
          <t>LCP-2504023</t>
        </is>
      </c>
      <c r="C116" s="220" t="n">
        <v>212.5</v>
      </c>
      <c r="D116" s="220" t="n">
        <v>365</v>
      </c>
      <c r="E116" s="220" t="n">
        <v>342</v>
      </c>
      <c r="F116" s="220">
        <f>ROUND((D116-E116)/D116*C116,2)</f>
        <v/>
      </c>
      <c r="G116" s="220">
        <f>ROUND(C116*0,2)</f>
        <v/>
      </c>
      <c r="H116" s="220" t="n">
        <v>0</v>
      </c>
    </row>
    <row r="117" ht="28" customHeight="1" s="132">
      <c r="A117" s="220" t="inlineStr">
        <is>
          <t>A106</t>
        </is>
      </c>
      <c r="B117" s="220" t="inlineStr">
        <is>
          <t>LCP-2504019</t>
        </is>
      </c>
      <c r="C117" s="220" t="n">
        <v>212.5</v>
      </c>
      <c r="D117" s="220" t="n">
        <v>365</v>
      </c>
      <c r="E117" s="220" t="n">
        <v>342</v>
      </c>
      <c r="F117" s="220">
        <f>ROUND((D117-E117)/D117*C117,2)</f>
        <v/>
      </c>
      <c r="G117" s="220">
        <f>ROUND(C117*0,2)</f>
        <v/>
      </c>
      <c r="H117" s="220" t="n">
        <v>0</v>
      </c>
    </row>
    <row r="118" ht="28" customHeight="1" s="132">
      <c r="A118" s="220" t="inlineStr">
        <is>
          <t>A107</t>
        </is>
      </c>
      <c r="B118" s="220" t="inlineStr">
        <is>
          <t>LCC-2504016</t>
        </is>
      </c>
      <c r="C118" s="220" t="n">
        <v>178.5</v>
      </c>
      <c r="D118" s="220" t="n">
        <v>365</v>
      </c>
      <c r="E118" s="220" t="n">
        <v>342</v>
      </c>
      <c r="F118" s="220">
        <f>ROUND((D118-E118)/D118*C118,2)</f>
        <v/>
      </c>
      <c r="G118" s="220">
        <f>ROUND(C118*0,2)</f>
        <v/>
      </c>
      <c r="H118" s="220" t="n">
        <v>0</v>
      </c>
    </row>
    <row r="119" ht="28" customHeight="1" s="132">
      <c r="A119" s="220" t="inlineStr">
        <is>
          <t>A108</t>
        </is>
      </c>
      <c r="B119" s="220" t="inlineStr">
        <is>
          <t>LCP-2504031</t>
        </is>
      </c>
      <c r="C119" s="220" t="n">
        <v>212.5</v>
      </c>
      <c r="D119" s="220" t="n">
        <v>365</v>
      </c>
      <c r="E119" s="220" t="n">
        <v>342</v>
      </c>
      <c r="F119" s="220">
        <f>ROUND((D119-E119)/D119*C119,2)</f>
        <v/>
      </c>
      <c r="G119" s="220">
        <f>ROUND(C119*0,2)</f>
        <v/>
      </c>
      <c r="H119" s="220" t="n">
        <v>0</v>
      </c>
    </row>
    <row r="120" ht="28" customHeight="1" s="132">
      <c r="A120" s="220" t="inlineStr">
        <is>
          <t>A109</t>
        </is>
      </c>
      <c r="B120" s="220" t="inlineStr">
        <is>
          <t>LCP-2504029</t>
        </is>
      </c>
      <c r="C120" s="220" t="n">
        <v>212.5</v>
      </c>
      <c r="D120" s="220" t="n">
        <v>365</v>
      </c>
      <c r="E120" s="220" t="n">
        <v>341</v>
      </c>
      <c r="F120" s="220">
        <f>ROUND((D120-E120)/D120*C120,2)</f>
        <v/>
      </c>
      <c r="G120" s="220">
        <f>ROUND(C120*0,2)</f>
        <v/>
      </c>
      <c r="H120" s="220" t="n">
        <v>0</v>
      </c>
    </row>
    <row r="121" ht="28" customHeight="1" s="132">
      <c r="A121" s="220" t="inlineStr">
        <is>
          <t>A110</t>
        </is>
      </c>
      <c r="B121" s="220" t="inlineStr">
        <is>
          <t>LCP-2504022</t>
        </is>
      </c>
      <c r="C121" s="220" t="n">
        <v>212.5</v>
      </c>
      <c r="D121" s="220" t="n">
        <v>365</v>
      </c>
      <c r="E121" s="220" t="n">
        <v>342</v>
      </c>
      <c r="F121" s="220">
        <f>ROUND((D121-E121)/D121*C121,2)</f>
        <v/>
      </c>
      <c r="G121" s="220">
        <f>ROUND(C121*0,2)</f>
        <v/>
      </c>
      <c r="H121" s="220" t="n">
        <v>0</v>
      </c>
    </row>
    <row r="122" ht="28" customHeight="1" s="132">
      <c r="A122" s="220" t="inlineStr">
        <is>
          <t>A111</t>
        </is>
      </c>
      <c r="B122" s="220" t="inlineStr">
        <is>
          <t>LCP-2504024</t>
        </is>
      </c>
      <c r="C122" s="220" t="n">
        <v>212.5</v>
      </c>
      <c r="D122" s="220" t="n">
        <v>365</v>
      </c>
      <c r="E122" s="220" t="n">
        <v>342</v>
      </c>
      <c r="F122" s="220">
        <f>ROUND((D122-E122)/D122*C122,2)</f>
        <v/>
      </c>
      <c r="G122" s="220">
        <f>ROUND(C122*0,2)</f>
        <v/>
      </c>
      <c r="H122" s="220" t="n">
        <v>0</v>
      </c>
    </row>
    <row r="123" ht="28" customHeight="1" s="132">
      <c r="A123" s="220" t="inlineStr">
        <is>
          <t>A112</t>
        </is>
      </c>
      <c r="B123" s="220" t="inlineStr">
        <is>
          <t>LCP-2504028</t>
        </is>
      </c>
      <c r="C123" s="220" t="n">
        <v>212.5</v>
      </c>
      <c r="D123" s="220" t="n">
        <v>365</v>
      </c>
      <c r="E123" s="220" t="n">
        <v>342</v>
      </c>
      <c r="F123" s="220">
        <f>ROUND((D123-E123)/D123*C123,2)</f>
        <v/>
      </c>
      <c r="G123" s="220">
        <f>ROUND(C123*0,2)</f>
        <v/>
      </c>
      <c r="H123" s="220" t="n">
        <v>0</v>
      </c>
    </row>
    <row r="124" ht="28" customHeight="1" s="132">
      <c r="A124" s="220" t="inlineStr">
        <is>
          <t>A113</t>
        </is>
      </c>
      <c r="B124" s="220" t="inlineStr">
        <is>
          <t>LCP-2504030</t>
        </is>
      </c>
      <c r="C124" s="220" t="n">
        <v>212.5</v>
      </c>
      <c r="D124" s="220" t="n">
        <v>365</v>
      </c>
      <c r="E124" s="220" t="n">
        <v>341</v>
      </c>
      <c r="F124" s="220">
        <f>ROUND((D124-E124)/D124*C124,2)</f>
        <v/>
      </c>
      <c r="G124" s="220">
        <f>ROUND(C124*0,2)</f>
        <v/>
      </c>
      <c r="H124" s="220" t="n">
        <v>0</v>
      </c>
    </row>
    <row r="125" ht="28" customHeight="1" s="132">
      <c r="A125" s="220" t="inlineStr">
        <is>
          <t>A114</t>
        </is>
      </c>
      <c r="B125" s="220" t="inlineStr">
        <is>
          <t>LCP-2504026</t>
        </is>
      </c>
      <c r="C125" s="220" t="n">
        <v>212.5</v>
      </c>
      <c r="D125" s="220" t="n">
        <v>365</v>
      </c>
      <c r="E125" s="220" t="n">
        <v>342</v>
      </c>
      <c r="F125" s="220">
        <f>ROUND((D125-E125)/D125*C125,2)</f>
        <v/>
      </c>
      <c r="G125" s="220">
        <f>ROUND(C125*0,2)</f>
        <v/>
      </c>
      <c r="H125" s="220" t="n">
        <v>0</v>
      </c>
    </row>
    <row r="126" ht="28" customHeight="1" s="132">
      <c r="A126" s="220" t="inlineStr">
        <is>
          <t>A115</t>
        </is>
      </c>
      <c r="B126" s="220" t="inlineStr">
        <is>
          <t>LCP-2504027</t>
        </is>
      </c>
      <c r="C126" s="220" t="n">
        <v>212.5</v>
      </c>
      <c r="D126" s="220" t="n">
        <v>365</v>
      </c>
      <c r="E126" s="220" t="n">
        <v>342</v>
      </c>
      <c r="F126" s="220">
        <f>ROUND((D126-E126)/D126*C126,2)</f>
        <v/>
      </c>
      <c r="G126" s="220">
        <f>ROUND(C126*0,2)</f>
        <v/>
      </c>
      <c r="H126" s="220" t="n">
        <v>0</v>
      </c>
    </row>
    <row r="127" ht="28" customHeight="1" s="132">
      <c r="A127" s="220" t="inlineStr">
        <is>
          <t>A116</t>
        </is>
      </c>
      <c r="B127" s="220" t="inlineStr">
        <is>
          <t>LCP-2504017</t>
        </is>
      </c>
      <c r="C127" s="220" t="n">
        <v>212.5</v>
      </c>
      <c r="D127" s="220" t="n">
        <v>365</v>
      </c>
      <c r="E127" s="220" t="n">
        <v>342</v>
      </c>
      <c r="F127" s="220">
        <f>ROUND((D127-E127)/D127*C127,2)</f>
        <v/>
      </c>
      <c r="G127" s="220">
        <f>ROUND(C127*0,2)</f>
        <v/>
      </c>
      <c r="H127" s="220" t="n">
        <v>0</v>
      </c>
    </row>
    <row r="128" ht="28" customHeight="1" s="132">
      <c r="A128" s="220" t="inlineStr">
        <is>
          <t>A117</t>
        </is>
      </c>
      <c r="B128" s="220" t="inlineStr">
        <is>
          <t>LCP-2504021</t>
        </is>
      </c>
      <c r="C128" s="220" t="n">
        <v>212.5</v>
      </c>
      <c r="D128" s="220" t="n">
        <v>365</v>
      </c>
      <c r="E128" s="220" t="n">
        <v>342</v>
      </c>
      <c r="F128" s="220">
        <f>ROUND((D128-E128)/D128*C128,2)</f>
        <v/>
      </c>
      <c r="G128" s="220">
        <f>ROUND(C128*0,2)</f>
        <v/>
      </c>
      <c r="H128" s="220" t="n">
        <v>0</v>
      </c>
    </row>
    <row r="129" ht="28" customHeight="1" s="132">
      <c r="A129" s="220" t="inlineStr">
        <is>
          <t>A118</t>
        </is>
      </c>
      <c r="B129" s="220" t="inlineStr">
        <is>
          <t>LCC-2504034</t>
        </is>
      </c>
      <c r="C129" s="220" t="n">
        <v>212.5</v>
      </c>
      <c r="D129" s="220" t="n">
        <v>365</v>
      </c>
      <c r="E129" s="220" t="n">
        <v>339</v>
      </c>
      <c r="F129" s="220">
        <f>ROUND((D129-E129)/D129*C129,2)</f>
        <v/>
      </c>
      <c r="G129" s="220">
        <f>ROUND(C129*0,2)</f>
        <v/>
      </c>
      <c r="H129" s="220" t="n">
        <v>0</v>
      </c>
    </row>
    <row r="130" ht="28" customHeight="1" s="132">
      <c r="A130" s="220" t="inlineStr">
        <is>
          <t>A119</t>
        </is>
      </c>
      <c r="B130" s="220" t="inlineStr">
        <is>
          <t>LCC-2504035</t>
        </is>
      </c>
      <c r="C130" s="220" t="n">
        <v>425</v>
      </c>
      <c r="D130" s="220" t="n">
        <v>365</v>
      </c>
      <c r="E130" s="220" t="n">
        <v>338</v>
      </c>
      <c r="F130" s="220">
        <f>ROUND((D130-E130)/D130*C130,2)</f>
        <v/>
      </c>
      <c r="G130" s="220">
        <f>ROUND(C130*0,2)</f>
        <v/>
      </c>
      <c r="H130" s="220" t="n">
        <v>0</v>
      </c>
    </row>
    <row r="131" ht="28" customHeight="1" s="132">
      <c r="A131" s="220" t="inlineStr">
        <is>
          <t>A120</t>
        </is>
      </c>
      <c r="B131" s="220" t="inlineStr">
        <is>
          <t>LCC-2504036</t>
        </is>
      </c>
      <c r="C131" s="220" t="n">
        <v>488.75</v>
      </c>
      <c r="D131" s="220" t="n">
        <v>365</v>
      </c>
      <c r="E131" s="220" t="n">
        <v>341</v>
      </c>
      <c r="F131" s="220">
        <f>ROUND((D131-E131)/D131*C131,2)</f>
        <v/>
      </c>
      <c r="G131" s="220">
        <f>ROUND(C131*0,2)</f>
        <v/>
      </c>
      <c r="H131" s="220" t="n">
        <v>0</v>
      </c>
    </row>
    <row r="132" ht="28" customHeight="1" s="132">
      <c r="A132" s="220" t="inlineStr">
        <is>
          <t>A121</t>
        </is>
      </c>
      <c r="B132" s="220" t="inlineStr">
        <is>
          <t>LCC-2504037</t>
        </is>
      </c>
      <c r="C132" s="220" t="n">
        <v>31525.56</v>
      </c>
      <c r="D132" s="220" t="n">
        <v>365</v>
      </c>
      <c r="E132" s="220" t="n">
        <v>396</v>
      </c>
      <c r="F132" s="220">
        <f>ROUND((D132-E132)/D132*C132,2)</f>
        <v/>
      </c>
      <c r="G132" s="220">
        <f>ROUND(C132*0,2)</f>
        <v/>
      </c>
      <c r="H132" s="220" t="n">
        <v>0</v>
      </c>
    </row>
    <row r="133" ht="28" customHeight="1" s="132">
      <c r="A133" s="220" t="inlineStr">
        <is>
          <t>A122</t>
        </is>
      </c>
      <c r="B133" s="220" t="inlineStr">
        <is>
          <t>LCC-2504039</t>
        </is>
      </c>
      <c r="C133" s="220" t="n">
        <v>178.5</v>
      </c>
      <c r="D133" s="220" t="n">
        <v>365</v>
      </c>
      <c r="E133" s="220" t="n">
        <v>337</v>
      </c>
      <c r="F133" s="220">
        <f>ROUND((D133-E133)/D133*C133,2)</f>
        <v/>
      </c>
      <c r="G133" s="220">
        <f>ROUND(C133*0,2)</f>
        <v/>
      </c>
      <c r="H133" s="220" t="n">
        <v>0</v>
      </c>
    </row>
    <row r="134" ht="28" customHeight="1" s="132">
      <c r="A134" s="220" t="inlineStr">
        <is>
          <t>A123</t>
        </is>
      </c>
      <c r="B134" s="220" t="inlineStr">
        <is>
          <t>LCC-2504038</t>
        </is>
      </c>
      <c r="C134" s="220" t="n">
        <v>3612.5</v>
      </c>
      <c r="D134" s="220" t="n">
        <v>365</v>
      </c>
      <c r="E134" s="220" t="n">
        <v>365</v>
      </c>
      <c r="F134" s="220">
        <f>ROUND((D134-E134)/D134*C134,2)</f>
        <v/>
      </c>
      <c r="G134" s="220">
        <f>ROUND(C134*0,2)</f>
        <v/>
      </c>
      <c r="H134" s="220" t="n">
        <v>0</v>
      </c>
    </row>
    <row r="135" ht="28" customHeight="1" s="132">
      <c r="A135" s="220" t="inlineStr">
        <is>
          <t>A124</t>
        </is>
      </c>
      <c r="B135" s="220" t="inlineStr">
        <is>
          <t>LCP-2504040</t>
        </is>
      </c>
      <c r="C135" s="220" t="n">
        <v>212.5</v>
      </c>
      <c r="D135" s="220" t="n">
        <v>365</v>
      </c>
      <c r="E135" s="220" t="n">
        <v>335</v>
      </c>
      <c r="F135" s="220">
        <f>ROUND((D135-E135)/D135*C135,2)</f>
        <v/>
      </c>
      <c r="G135" s="220">
        <f>ROUND(C135*0,2)</f>
        <v/>
      </c>
      <c r="H135" s="220" t="n">
        <v>0</v>
      </c>
    </row>
    <row r="136" ht="28" customHeight="1" s="132">
      <c r="A136" s="220" t="inlineStr">
        <is>
          <t>A125</t>
        </is>
      </c>
      <c r="B136" s="220" t="inlineStr">
        <is>
          <t>LCC-2504042</t>
        </is>
      </c>
      <c r="C136" s="220" t="n">
        <v>178.5</v>
      </c>
      <c r="D136" s="220" t="n">
        <v>365</v>
      </c>
      <c r="E136" s="220" t="n">
        <v>331</v>
      </c>
      <c r="F136" s="220">
        <f>ROUND((D136-E136)/D136*C136,2)</f>
        <v/>
      </c>
      <c r="G136" s="220">
        <f>ROUND(C136*0,2)</f>
        <v/>
      </c>
      <c r="H136" s="220" t="n">
        <v>0</v>
      </c>
    </row>
    <row r="137" ht="28" customHeight="1" s="132">
      <c r="A137" s="220" t="inlineStr">
        <is>
          <t>A126</t>
        </is>
      </c>
      <c r="B137" s="220" t="inlineStr">
        <is>
          <t>LCP-2504041</t>
        </is>
      </c>
      <c r="C137" s="220" t="n">
        <v>212.5</v>
      </c>
      <c r="D137" s="220" t="n">
        <v>365</v>
      </c>
      <c r="E137" s="220" t="n">
        <v>331</v>
      </c>
      <c r="F137" s="220">
        <f>ROUND((D137-E137)/D137*C137,2)</f>
        <v/>
      </c>
      <c r="G137" s="220">
        <f>ROUND(C137*0,2)</f>
        <v/>
      </c>
      <c r="H137" s="220" t="n">
        <v>0</v>
      </c>
    </row>
    <row r="138" ht="28" customHeight="1" s="132">
      <c r="A138" s="220" t="inlineStr">
        <is>
          <t>A127</t>
        </is>
      </c>
      <c r="B138" s="220" t="inlineStr">
        <is>
          <t>LCC-2504045</t>
        </is>
      </c>
      <c r="C138" s="220" t="n">
        <v>5635.5</v>
      </c>
      <c r="D138" s="220" t="n">
        <v>365</v>
      </c>
      <c r="E138" s="220" t="n">
        <v>330</v>
      </c>
      <c r="F138" s="220">
        <f>ROUND((D138-E138)/D138*C138,2)</f>
        <v/>
      </c>
      <c r="G138" s="220">
        <f>ROUND(C138*0,2)</f>
        <v/>
      </c>
      <c r="H138" s="220" t="n">
        <v>0</v>
      </c>
    </row>
    <row r="139" ht="28" customHeight="1" s="132">
      <c r="A139" s="220" t="inlineStr">
        <is>
          <t>A128</t>
        </is>
      </c>
      <c r="B139" s="220" t="inlineStr">
        <is>
          <t>LCC-2504043</t>
        </is>
      </c>
      <c r="C139" s="220" t="n">
        <v>178.5</v>
      </c>
      <c r="D139" s="220" t="n">
        <v>365</v>
      </c>
      <c r="E139" s="220" t="n">
        <v>330</v>
      </c>
      <c r="F139" s="220">
        <f>ROUND((D139-E139)/D139*C139,2)</f>
        <v/>
      </c>
      <c r="G139" s="220">
        <f>ROUND(C139*0,2)</f>
        <v/>
      </c>
      <c r="H139" s="220" t="n">
        <v>0</v>
      </c>
    </row>
    <row r="140" ht="28" customHeight="1" s="132">
      <c r="A140" s="220" t="inlineStr">
        <is>
          <t>A129</t>
        </is>
      </c>
      <c r="B140" s="220" t="inlineStr">
        <is>
          <t>LCC-2504046</t>
        </is>
      </c>
      <c r="C140" s="220" t="n">
        <v>631.55</v>
      </c>
      <c r="D140" s="220" t="n">
        <v>365</v>
      </c>
      <c r="E140" s="220" t="n">
        <v>330</v>
      </c>
      <c r="F140" s="220">
        <f>ROUND((D140-E140)/D140*C140,2)</f>
        <v/>
      </c>
      <c r="G140" s="220">
        <f>ROUND(C140*0,2)</f>
        <v/>
      </c>
      <c r="H140" s="220" t="n">
        <v>0</v>
      </c>
    </row>
    <row r="141" ht="28" customHeight="1" s="132">
      <c r="A141" s="220" t="inlineStr">
        <is>
          <t>A130</t>
        </is>
      </c>
      <c r="B141" s="220" t="inlineStr">
        <is>
          <t>LCC-2504048</t>
        </is>
      </c>
      <c r="C141" s="220" t="n">
        <v>510</v>
      </c>
      <c r="D141" s="220" t="n">
        <v>365</v>
      </c>
      <c r="E141" s="220" t="n">
        <v>329</v>
      </c>
      <c r="F141" s="220">
        <f>ROUND((D141-E141)/D141*C141,2)</f>
        <v/>
      </c>
      <c r="G141" s="220">
        <f>ROUND(C141*0,2)</f>
        <v/>
      </c>
      <c r="H141" s="220" t="n">
        <v>0</v>
      </c>
    </row>
    <row r="142" ht="28" customHeight="1" s="132">
      <c r="A142" s="220" t="inlineStr">
        <is>
          <t>A131</t>
        </is>
      </c>
      <c r="B142" s="220" t="inlineStr">
        <is>
          <t>LCC-2504049</t>
        </is>
      </c>
      <c r="C142" s="220" t="n">
        <v>510</v>
      </c>
      <c r="D142" s="220" t="n">
        <v>365</v>
      </c>
      <c r="E142" s="220" t="n">
        <v>329</v>
      </c>
      <c r="F142" s="220">
        <f>ROUND((D142-E142)/D142*C142,2)</f>
        <v/>
      </c>
      <c r="G142" s="220">
        <f>ROUND(C142*0,2)</f>
        <v/>
      </c>
      <c r="H142" s="220" t="n">
        <v>0</v>
      </c>
    </row>
    <row r="143" ht="28" customHeight="1" s="132">
      <c r="A143" s="220" t="inlineStr">
        <is>
          <t>A132</t>
        </is>
      </c>
      <c r="B143" s="220" t="inlineStr">
        <is>
          <t>LCC-2504051</t>
        </is>
      </c>
      <c r="C143" s="220" t="n">
        <v>569.5</v>
      </c>
      <c r="D143" s="220" t="n">
        <v>365</v>
      </c>
      <c r="E143" s="220" t="n">
        <v>327</v>
      </c>
      <c r="F143" s="220">
        <f>ROUND((D143-E143)/D143*C143,2)</f>
        <v/>
      </c>
      <c r="G143" s="220">
        <f>ROUND(C143*0,2)</f>
        <v/>
      </c>
      <c r="H143" s="220" t="n">
        <v>0</v>
      </c>
    </row>
    <row r="144" ht="28" customHeight="1" s="132">
      <c r="A144" s="220" t="inlineStr">
        <is>
          <t>A133</t>
        </is>
      </c>
      <c r="B144" s="220" t="inlineStr">
        <is>
          <t>LCC-2504052</t>
        </is>
      </c>
      <c r="C144" s="220" t="n">
        <v>178.5</v>
      </c>
      <c r="D144" s="220" t="n">
        <v>365</v>
      </c>
      <c r="E144" s="220" t="n">
        <v>327</v>
      </c>
      <c r="F144" s="220">
        <f>ROUND((D144-E144)/D144*C144,2)</f>
        <v/>
      </c>
      <c r="G144" s="220">
        <f>ROUND(C144*0,2)</f>
        <v/>
      </c>
      <c r="H144" s="220" t="n">
        <v>0</v>
      </c>
    </row>
    <row r="145" ht="28" customHeight="1" s="132">
      <c r="A145" s="220" t="inlineStr">
        <is>
          <t>A134</t>
        </is>
      </c>
      <c r="B145" s="220" t="inlineStr">
        <is>
          <t>LCC-2504053</t>
        </is>
      </c>
      <c r="C145" s="220" t="n">
        <v>178.5</v>
      </c>
      <c r="D145" s="220" t="n">
        <v>365</v>
      </c>
      <c r="E145" s="220" t="n">
        <v>327</v>
      </c>
      <c r="F145" s="220">
        <f>ROUND((D145-E145)/D145*C145,2)</f>
        <v/>
      </c>
      <c r="G145" s="220">
        <f>ROUND(C145*0,2)</f>
        <v/>
      </c>
      <c r="H145" s="220" t="n">
        <v>0</v>
      </c>
    </row>
    <row r="146" ht="28" customHeight="1" s="132">
      <c r="A146" s="220" t="inlineStr">
        <is>
          <t>A135</t>
        </is>
      </c>
      <c r="B146" s="220" t="inlineStr">
        <is>
          <t>LCC-2504055</t>
        </is>
      </c>
      <c r="C146" s="220" t="n">
        <v>297.5</v>
      </c>
      <c r="D146" s="220" t="n">
        <v>365</v>
      </c>
      <c r="E146" s="220" t="n">
        <v>327</v>
      </c>
      <c r="F146" s="220">
        <f>ROUND((D146-E146)/D146*C146,2)</f>
        <v/>
      </c>
      <c r="G146" s="220">
        <f>ROUND(C146*0,2)</f>
        <v/>
      </c>
      <c r="H146" s="220" t="n">
        <v>0</v>
      </c>
    </row>
    <row r="147" ht="28" customHeight="1" s="132">
      <c r="A147" s="220" t="inlineStr">
        <is>
          <t>A136</t>
        </is>
      </c>
      <c r="B147" s="220" t="inlineStr">
        <is>
          <t>LCC-2504056</t>
        </is>
      </c>
      <c r="C147" s="220" t="n">
        <v>425</v>
      </c>
      <c r="D147" s="220" t="n">
        <v>365</v>
      </c>
      <c r="E147" s="220" t="n">
        <v>327</v>
      </c>
      <c r="F147" s="220">
        <f>ROUND((D147-E147)/D147*C147,2)</f>
        <v/>
      </c>
      <c r="G147" s="220">
        <f>ROUND(C147*0,2)</f>
        <v/>
      </c>
      <c r="H147" s="220" t="n">
        <v>0</v>
      </c>
    </row>
    <row r="148" ht="28" customHeight="1" s="132">
      <c r="A148" s="220" t="inlineStr">
        <is>
          <t>A137</t>
        </is>
      </c>
      <c r="B148" s="220" t="inlineStr">
        <is>
          <t>LCC-2504058</t>
        </is>
      </c>
      <c r="C148" s="220" t="n">
        <v>178.5</v>
      </c>
      <c r="D148" s="220" t="n">
        <v>365</v>
      </c>
      <c r="E148" s="220" t="n">
        <v>322</v>
      </c>
      <c r="F148" s="220">
        <f>ROUND((D148-E148)/D148*C148,2)</f>
        <v/>
      </c>
      <c r="G148" s="220">
        <f>ROUND(C148*0,2)</f>
        <v/>
      </c>
      <c r="H148" s="220" t="n">
        <v>0</v>
      </c>
    </row>
    <row r="149" ht="28" customHeight="1" s="132">
      <c r="A149" s="220" t="inlineStr">
        <is>
          <t>A138</t>
        </is>
      </c>
      <c r="B149" s="220" t="inlineStr">
        <is>
          <t>LCP-2504060</t>
        </is>
      </c>
      <c r="C149" s="220" t="n">
        <v>212.5</v>
      </c>
      <c r="D149" s="220" t="n">
        <v>365</v>
      </c>
      <c r="E149" s="220" t="n">
        <v>322</v>
      </c>
      <c r="F149" s="220">
        <f>ROUND((D149-E149)/D149*C149,2)</f>
        <v/>
      </c>
      <c r="G149" s="220">
        <f>ROUND(C149*0,2)</f>
        <v/>
      </c>
      <c r="H149" s="220" t="n">
        <v>0</v>
      </c>
    </row>
    <row r="150" ht="28" customHeight="1" s="132">
      <c r="A150" s="220" t="inlineStr">
        <is>
          <t>A139</t>
        </is>
      </c>
      <c r="B150" s="220" t="inlineStr">
        <is>
          <t>LCC-2504057</t>
        </is>
      </c>
      <c r="C150" s="220" t="n">
        <v>212.5</v>
      </c>
      <c r="D150" s="220" t="n">
        <v>365</v>
      </c>
      <c r="E150" s="220" t="n">
        <v>323</v>
      </c>
      <c r="F150" s="220">
        <f>ROUND((D150-E150)/D150*C150,2)</f>
        <v/>
      </c>
      <c r="G150" s="220">
        <f>ROUND(C150*0,2)</f>
        <v/>
      </c>
      <c r="H150" s="220" t="n">
        <v>0</v>
      </c>
    </row>
    <row r="151" ht="28" customHeight="1" s="132">
      <c r="A151" s="220" t="inlineStr">
        <is>
          <t>A140</t>
        </is>
      </c>
      <c r="B151" s="220" t="inlineStr">
        <is>
          <t>LCC-2504061</t>
        </is>
      </c>
      <c r="C151" s="220" t="n">
        <v>212.5</v>
      </c>
      <c r="D151" s="220" t="n">
        <v>365</v>
      </c>
      <c r="E151" s="220" t="n">
        <v>321</v>
      </c>
      <c r="F151" s="220">
        <f>ROUND((D151-E151)/D151*C151,2)</f>
        <v/>
      </c>
      <c r="G151" s="220">
        <f>ROUND(C151*0,2)</f>
        <v/>
      </c>
      <c r="H151" s="220" t="n">
        <v>0</v>
      </c>
    </row>
    <row r="152" ht="28" customHeight="1" s="132">
      <c r="A152" s="220" t="inlineStr">
        <is>
          <t>A141</t>
        </is>
      </c>
      <c r="B152" s="220" t="inlineStr">
        <is>
          <t>LCC-2504064</t>
        </is>
      </c>
      <c r="C152" s="220" t="n">
        <v>104.55</v>
      </c>
      <c r="D152" s="220" t="n">
        <v>365</v>
      </c>
      <c r="E152" s="220" t="n">
        <v>320</v>
      </c>
      <c r="F152" s="220">
        <f>ROUND((D152-E152)/D152*C152,2)</f>
        <v/>
      </c>
      <c r="G152" s="220">
        <f>ROUND(C152*0,2)</f>
        <v/>
      </c>
      <c r="H152" s="220" t="n">
        <v>0</v>
      </c>
    </row>
    <row r="153" ht="28" customHeight="1" s="132">
      <c r="A153" s="220" t="inlineStr">
        <is>
          <t>A142</t>
        </is>
      </c>
      <c r="B153" s="220" t="inlineStr">
        <is>
          <t>LCC-2504063</t>
        </is>
      </c>
      <c r="C153" s="220" t="n">
        <v>212.5</v>
      </c>
      <c r="D153" s="220" t="n">
        <v>365</v>
      </c>
      <c r="E153" s="220" t="n">
        <v>320</v>
      </c>
      <c r="F153" s="220">
        <f>ROUND((D153-E153)/D153*C153,2)</f>
        <v/>
      </c>
      <c r="G153" s="220">
        <f>ROUND(C153*0,2)</f>
        <v/>
      </c>
      <c r="H153" s="220" t="n">
        <v>0</v>
      </c>
    </row>
    <row r="154" ht="28" customHeight="1" s="132">
      <c r="A154" s="220" t="inlineStr">
        <is>
          <t>A143</t>
        </is>
      </c>
      <c r="B154" s="220" t="inlineStr">
        <is>
          <t>LCC-2504062</t>
        </is>
      </c>
      <c r="C154" s="220" t="n">
        <v>1190</v>
      </c>
      <c r="D154" s="220" t="n">
        <v>365</v>
      </c>
      <c r="E154" s="220" t="n">
        <v>302</v>
      </c>
      <c r="F154" s="220">
        <f>ROUND((D154-E154)/D154*C154,2)</f>
        <v/>
      </c>
      <c r="G154" s="220">
        <f>ROUND(C154*0,2)</f>
        <v/>
      </c>
      <c r="H154" s="220" t="n">
        <v>0</v>
      </c>
    </row>
    <row r="155" ht="28" customHeight="1" s="132">
      <c r="A155" s="220" t="inlineStr">
        <is>
          <t>A144</t>
        </is>
      </c>
      <c r="B155" s="220" t="inlineStr">
        <is>
          <t>LCC-2504066</t>
        </is>
      </c>
      <c r="C155" s="220" t="n">
        <v>2065.5</v>
      </c>
      <c r="D155" s="220" t="n">
        <v>365</v>
      </c>
      <c r="E155" s="220" t="n">
        <v>318</v>
      </c>
      <c r="F155" s="220">
        <f>ROUND((D155-E155)/D155*C155,2)</f>
        <v/>
      </c>
      <c r="G155" s="220">
        <f>ROUND(C155*0,2)</f>
        <v/>
      </c>
      <c r="H155" s="220" t="n">
        <v>0</v>
      </c>
    </row>
    <row r="156" ht="28" customHeight="1" s="132">
      <c r="A156" s="220" t="inlineStr">
        <is>
          <t>A145</t>
        </is>
      </c>
      <c r="B156" s="220" t="inlineStr">
        <is>
          <t>LCP-2504067</t>
        </is>
      </c>
      <c r="C156" s="220" t="n">
        <v>212.5</v>
      </c>
      <c r="D156" s="220" t="n">
        <v>365</v>
      </c>
      <c r="E156" s="220" t="n">
        <v>317</v>
      </c>
      <c r="F156" s="220">
        <f>ROUND((D156-E156)/D156*C156,2)</f>
        <v/>
      </c>
      <c r="G156" s="220">
        <f>ROUND(C156*0,2)</f>
        <v/>
      </c>
      <c r="H156" s="220" t="n">
        <v>0</v>
      </c>
    </row>
    <row r="157" ht="28" customHeight="1" s="132">
      <c r="A157" s="220" t="inlineStr">
        <is>
          <t>A146</t>
        </is>
      </c>
      <c r="B157" s="220" t="inlineStr">
        <is>
          <t>LCP-2504069</t>
        </is>
      </c>
      <c r="C157" s="220" t="n">
        <v>212.5</v>
      </c>
      <c r="D157" s="220" t="n">
        <v>365</v>
      </c>
      <c r="E157" s="220" t="n">
        <v>317</v>
      </c>
      <c r="F157" s="220">
        <f>ROUND((D157-E157)/D157*C157,2)</f>
        <v/>
      </c>
      <c r="G157" s="220">
        <f>ROUND(C157*0,2)</f>
        <v/>
      </c>
      <c r="H157" s="220" t="n">
        <v>0</v>
      </c>
    </row>
    <row r="158" ht="28" customHeight="1" s="132">
      <c r="A158" s="220" t="inlineStr">
        <is>
          <t>A147</t>
        </is>
      </c>
      <c r="B158" s="220" t="inlineStr">
        <is>
          <t>LCP-2504070</t>
        </is>
      </c>
      <c r="C158" s="220" t="n">
        <v>212.5</v>
      </c>
      <c r="D158" s="220" t="n">
        <v>365</v>
      </c>
      <c r="E158" s="220" t="n">
        <v>315</v>
      </c>
      <c r="F158" s="220">
        <f>ROUND((D158-E158)/D158*C158,2)</f>
        <v/>
      </c>
      <c r="G158" s="220">
        <f>ROUND(C158*0,2)</f>
        <v/>
      </c>
      <c r="H158" s="220" t="n">
        <v>0</v>
      </c>
    </row>
    <row r="159" ht="28" customHeight="1" s="132">
      <c r="A159" s="220" t="inlineStr">
        <is>
          <t>A148</t>
        </is>
      </c>
      <c r="B159" s="220" t="inlineStr">
        <is>
          <t>LCC-2504072</t>
        </is>
      </c>
      <c r="C159" s="220" t="n">
        <v>178.5</v>
      </c>
      <c r="D159" s="220" t="n">
        <v>365</v>
      </c>
      <c r="E159" s="220" t="n">
        <v>315</v>
      </c>
      <c r="F159" s="220">
        <f>ROUND((D159-E159)/D159*C159,2)</f>
        <v/>
      </c>
      <c r="G159" s="220">
        <f>ROUND(C159*0,2)</f>
        <v/>
      </c>
      <c r="H159" s="220" t="n">
        <v>0</v>
      </c>
    </row>
    <row r="160" ht="28" customHeight="1" s="132">
      <c r="A160" s="220" t="inlineStr">
        <is>
          <t>A149</t>
        </is>
      </c>
      <c r="B160" s="220" t="inlineStr">
        <is>
          <t>LCC-2504071</t>
        </is>
      </c>
      <c r="C160" s="220" t="n">
        <v>178.5</v>
      </c>
      <c r="D160" s="220" t="n">
        <v>365</v>
      </c>
      <c r="E160" s="220" t="n">
        <v>315</v>
      </c>
      <c r="F160" s="220">
        <f>ROUND((D160-E160)/D160*C160,2)</f>
        <v/>
      </c>
      <c r="G160" s="220">
        <f>ROUND(C160*0,2)</f>
        <v/>
      </c>
      <c r="H160" s="220" t="n">
        <v>0</v>
      </c>
    </row>
    <row r="161" ht="28" customHeight="1" s="132">
      <c r="A161" s="220" t="inlineStr">
        <is>
          <t>A150</t>
        </is>
      </c>
      <c r="B161" s="220" t="inlineStr">
        <is>
          <t>LCC-2504077</t>
        </is>
      </c>
      <c r="C161" s="220" t="n">
        <v>178.5</v>
      </c>
      <c r="D161" s="220" t="n">
        <v>365</v>
      </c>
      <c r="E161" s="220" t="n">
        <v>310</v>
      </c>
      <c r="F161" s="220">
        <f>ROUND((D161-E161)/D161*C161,2)</f>
        <v/>
      </c>
      <c r="G161" s="220">
        <f>ROUND(C161*0,2)</f>
        <v/>
      </c>
      <c r="H161" s="220" t="n">
        <v>0</v>
      </c>
    </row>
    <row r="162" ht="28" customHeight="1" s="132">
      <c r="A162" s="220" t="inlineStr">
        <is>
          <t>A151</t>
        </is>
      </c>
      <c r="B162" s="220" t="inlineStr">
        <is>
          <t>LCC-2504076</t>
        </is>
      </c>
      <c r="C162" s="220" t="n">
        <v>297.5</v>
      </c>
      <c r="D162" s="220" t="n">
        <v>365</v>
      </c>
      <c r="E162" s="220" t="n">
        <v>310</v>
      </c>
      <c r="F162" s="220">
        <f>ROUND((D162-E162)/D162*C162,2)</f>
        <v/>
      </c>
      <c r="G162" s="220">
        <f>ROUND(C162*0,2)</f>
        <v/>
      </c>
      <c r="H162" s="220" t="n">
        <v>0</v>
      </c>
    </row>
    <row r="163" ht="28" customHeight="1" s="132">
      <c r="A163" s="220" t="inlineStr">
        <is>
          <t>A152</t>
        </is>
      </c>
      <c r="B163" s="220" t="inlineStr">
        <is>
          <t>LCC-2504074</t>
        </is>
      </c>
      <c r="C163" s="220" t="n">
        <v>637.5</v>
      </c>
      <c r="D163" s="220" t="n">
        <v>365</v>
      </c>
      <c r="E163" s="220" t="n">
        <v>310</v>
      </c>
      <c r="F163" s="220">
        <f>ROUND((D163-E163)/D163*C163,2)</f>
        <v/>
      </c>
      <c r="G163" s="220">
        <f>ROUND(C163*0,2)</f>
        <v/>
      </c>
      <c r="H163" s="220" t="n">
        <v>0</v>
      </c>
    </row>
    <row r="164" ht="28" customHeight="1" s="132">
      <c r="A164" s="220" t="inlineStr">
        <is>
          <t>A153</t>
        </is>
      </c>
      <c r="B164" s="220" t="inlineStr">
        <is>
          <t>LCC-2504078</t>
        </is>
      </c>
      <c r="C164" s="220" t="n">
        <v>3145</v>
      </c>
      <c r="D164" s="220" t="n">
        <v>365</v>
      </c>
      <c r="E164" s="220" t="n">
        <v>309</v>
      </c>
      <c r="F164" s="220">
        <f>ROUND((D164-E164)/D164*C164,2)</f>
        <v/>
      </c>
      <c r="G164" s="220">
        <f>ROUND(C164*0,2)</f>
        <v/>
      </c>
      <c r="H164" s="220" t="n">
        <v>0</v>
      </c>
    </row>
    <row r="165" ht="28" customHeight="1" s="132">
      <c r="A165" s="220" t="inlineStr">
        <is>
          <t>A154</t>
        </is>
      </c>
      <c r="B165" s="220" t="inlineStr">
        <is>
          <t>LCP-2504079</t>
        </is>
      </c>
      <c r="C165" s="220" t="n">
        <v>250</v>
      </c>
      <c r="D165" s="220" t="n">
        <v>365</v>
      </c>
      <c r="E165" s="220" t="n">
        <v>307</v>
      </c>
      <c r="F165" s="220">
        <f>ROUND((D165-E165)/D165*C165,2)</f>
        <v/>
      </c>
      <c r="G165" s="220">
        <f>ROUND(C165*0,2)</f>
        <v/>
      </c>
      <c r="H165" s="220" t="n">
        <v>0</v>
      </c>
    </row>
    <row r="166" ht="28" customHeight="1" s="132">
      <c r="A166" s="220" t="inlineStr">
        <is>
          <t>A155</t>
        </is>
      </c>
      <c r="B166" s="220" t="inlineStr">
        <is>
          <t>LCC-2504080</t>
        </is>
      </c>
      <c r="C166" s="220" t="n">
        <v>400</v>
      </c>
      <c r="D166" s="220" t="n">
        <v>365</v>
      </c>
      <c r="E166" s="220" t="n">
        <v>307</v>
      </c>
      <c r="F166" s="220">
        <f>ROUND((D166-E166)/D166*C166,2)</f>
        <v/>
      </c>
      <c r="G166" s="220">
        <f>ROUND(C166*0,2)</f>
        <v/>
      </c>
      <c r="H166" s="220" t="n">
        <v>0</v>
      </c>
    </row>
    <row r="167" ht="28" customHeight="1" s="132">
      <c r="A167" s="220" t="inlineStr">
        <is>
          <t>A156</t>
        </is>
      </c>
      <c r="B167" s="220" t="inlineStr">
        <is>
          <t>LCP-2504084</t>
        </is>
      </c>
      <c r="C167" s="220" t="n">
        <v>250</v>
      </c>
      <c r="D167" s="220" t="n">
        <v>365</v>
      </c>
      <c r="E167" s="220" t="n">
        <v>307</v>
      </c>
      <c r="F167" s="220">
        <f>ROUND((D167-E167)/D167*C167,2)</f>
        <v/>
      </c>
      <c r="G167" s="220">
        <f>ROUND(C167*0,2)</f>
        <v/>
      </c>
      <c r="H167" s="220" t="n">
        <v>0</v>
      </c>
    </row>
    <row r="168" ht="28" customHeight="1" s="132">
      <c r="A168" s="220" t="inlineStr">
        <is>
          <t>A157</t>
        </is>
      </c>
      <c r="B168" s="220" t="inlineStr">
        <is>
          <t>LCC-2504081</t>
        </is>
      </c>
      <c r="C168" s="220" t="n">
        <v>210</v>
      </c>
      <c r="D168" s="220" t="n">
        <v>365</v>
      </c>
      <c r="E168" s="220" t="n">
        <v>307</v>
      </c>
      <c r="F168" s="220">
        <f>ROUND((D168-E168)/D168*C168,2)</f>
        <v/>
      </c>
      <c r="G168" s="220">
        <f>ROUND(C168*0,2)</f>
        <v/>
      </c>
      <c r="H168" s="220" t="n">
        <v>0</v>
      </c>
    </row>
    <row r="169" ht="28" customHeight="1" s="132">
      <c r="A169" s="220" t="inlineStr">
        <is>
          <t>A158</t>
        </is>
      </c>
      <c r="B169" s="220" t="inlineStr">
        <is>
          <t>LCC-2504082</t>
        </is>
      </c>
      <c r="C169" s="220" t="n">
        <v>210</v>
      </c>
      <c r="D169" s="220" t="n">
        <v>365</v>
      </c>
      <c r="E169" s="220" t="n">
        <v>306</v>
      </c>
      <c r="F169" s="220">
        <f>ROUND((D169-E169)/D169*C169,2)</f>
        <v/>
      </c>
      <c r="G169" s="220">
        <f>ROUND(C169*0,2)</f>
        <v/>
      </c>
      <c r="H169" s="220" t="n">
        <v>0</v>
      </c>
    </row>
    <row r="170" ht="28" customHeight="1" s="132">
      <c r="A170" s="220" t="inlineStr">
        <is>
          <t>A159</t>
        </is>
      </c>
      <c r="B170" s="220" t="inlineStr">
        <is>
          <t>LCC-2504083</t>
        </is>
      </c>
      <c r="C170" s="220" t="n">
        <v>150</v>
      </c>
      <c r="D170" s="220" t="n">
        <v>365</v>
      </c>
      <c r="E170" s="220" t="n">
        <v>306</v>
      </c>
      <c r="F170" s="220">
        <f>ROUND((D170-E170)/D170*C170,2)</f>
        <v/>
      </c>
      <c r="G170" s="220">
        <f>ROUND(C170*0,2)</f>
        <v/>
      </c>
      <c r="H170" s="220" t="n">
        <v>0</v>
      </c>
    </row>
    <row r="171" ht="28" customHeight="1" s="132">
      <c r="A171" s="220" t="inlineStr">
        <is>
          <t>A160</t>
        </is>
      </c>
      <c r="B171" s="220" t="inlineStr">
        <is>
          <t>LCC-2504087</t>
        </is>
      </c>
      <c r="C171" s="220" t="n">
        <v>250</v>
      </c>
      <c r="D171" s="220" t="n">
        <v>365</v>
      </c>
      <c r="E171" s="220" t="n">
        <v>306</v>
      </c>
      <c r="F171" s="220">
        <f>ROUND((D171-E171)/D171*C171,2)</f>
        <v/>
      </c>
      <c r="G171" s="220">
        <f>ROUND(C171*0,2)</f>
        <v/>
      </c>
      <c r="H171" s="220" t="n">
        <v>0</v>
      </c>
    </row>
    <row r="172" ht="28" customHeight="1" s="132">
      <c r="A172" s="220" t="inlineStr">
        <is>
          <t>A161</t>
        </is>
      </c>
      <c r="B172" s="220" t="inlineStr">
        <is>
          <t>LCC-2504088</t>
        </is>
      </c>
      <c r="C172" s="220" t="n">
        <v>250</v>
      </c>
      <c r="D172" s="220" t="n">
        <v>365</v>
      </c>
      <c r="E172" s="220" t="n">
        <v>306</v>
      </c>
      <c r="F172" s="220">
        <f>ROUND((D172-E172)/D172*C172,2)</f>
        <v/>
      </c>
      <c r="G172" s="220">
        <f>ROUND(C172*0,2)</f>
        <v/>
      </c>
      <c r="H172" s="220" t="n">
        <v>0</v>
      </c>
    </row>
    <row r="173" ht="28" customHeight="1" s="132">
      <c r="A173" s="220" t="inlineStr">
        <is>
          <t>A162</t>
        </is>
      </c>
      <c r="B173" s="220" t="inlineStr">
        <is>
          <t>LCC-2504085</t>
        </is>
      </c>
      <c r="C173" s="220" t="n">
        <v>1554.65</v>
      </c>
      <c r="D173" s="220" t="n">
        <v>365</v>
      </c>
      <c r="E173" s="220" t="n">
        <v>307</v>
      </c>
      <c r="F173" s="220">
        <f>ROUND((D173-E173)/D173*C173,2)</f>
        <v/>
      </c>
      <c r="G173" s="220">
        <f>ROUND(C173*0,2)</f>
        <v/>
      </c>
      <c r="H173" s="220" t="n">
        <v>0</v>
      </c>
    </row>
    <row r="174" ht="28" customHeight="1" s="132">
      <c r="A174" s="220" t="inlineStr">
        <is>
          <t>A163</t>
        </is>
      </c>
      <c r="B174" s="220" t="inlineStr">
        <is>
          <t>LCC-2504086</t>
        </is>
      </c>
      <c r="C174" s="220" t="n">
        <v>350</v>
      </c>
      <c r="D174" s="220" t="n">
        <v>365</v>
      </c>
      <c r="E174" s="220" t="n">
        <v>306</v>
      </c>
      <c r="F174" s="220">
        <f>ROUND((D174-E174)/D174*C174,2)</f>
        <v/>
      </c>
      <c r="G174" s="220">
        <f>ROUND(C174*0,2)</f>
        <v/>
      </c>
      <c r="H174" s="220" t="n">
        <v>0</v>
      </c>
    </row>
    <row r="175" ht="28" customHeight="1" s="132">
      <c r="A175" s="220" t="inlineStr">
        <is>
          <t>A164</t>
        </is>
      </c>
      <c r="B175" s="220" t="inlineStr">
        <is>
          <t>LCC-2504089</t>
        </is>
      </c>
      <c r="C175" s="220" t="n">
        <v>14594.5</v>
      </c>
      <c r="D175" s="220" t="n">
        <v>365</v>
      </c>
      <c r="E175" s="220" t="n">
        <v>300</v>
      </c>
      <c r="F175" s="220">
        <f>ROUND((D175-E175)/D175*C175,2)</f>
        <v/>
      </c>
      <c r="G175" s="220">
        <f>ROUND(C175*0,2)</f>
        <v/>
      </c>
      <c r="H175" s="220" t="n">
        <v>0</v>
      </c>
    </row>
    <row r="176" ht="28" customHeight="1" s="132">
      <c r="A176" s="220" t="inlineStr">
        <is>
          <t>A165</t>
        </is>
      </c>
      <c r="B176" s="220" t="inlineStr">
        <is>
          <t>LCP-2504091</t>
        </is>
      </c>
      <c r="C176" s="220" t="n">
        <v>212.5</v>
      </c>
      <c r="D176" s="220" t="n">
        <v>365</v>
      </c>
      <c r="E176" s="220" t="n">
        <v>301</v>
      </c>
      <c r="F176" s="220">
        <f>ROUND((D176-E176)/D176*C176,2)</f>
        <v/>
      </c>
      <c r="G176" s="220">
        <f>ROUND(C176*0,2)</f>
        <v/>
      </c>
      <c r="H176" s="220" t="n">
        <v>0</v>
      </c>
    </row>
    <row r="177" ht="28" customHeight="1" s="132">
      <c r="A177" s="220" t="inlineStr">
        <is>
          <t>A166</t>
        </is>
      </c>
      <c r="B177" s="220" t="inlineStr">
        <is>
          <t>LCC-2504096</t>
        </is>
      </c>
      <c r="C177" s="220" t="n">
        <v>5355</v>
      </c>
      <c r="D177" s="220" t="n">
        <v>549</v>
      </c>
      <c r="E177" s="220" t="n">
        <v>299</v>
      </c>
      <c r="F177" s="220">
        <f>ROUND((D177-E177)/D177*C177,2)</f>
        <v/>
      </c>
      <c r="G177" s="220">
        <f>ROUND(C177*0,2)</f>
        <v/>
      </c>
      <c r="H177" s="220" t="n">
        <v>0</v>
      </c>
    </row>
    <row r="178" ht="28" customHeight="1" s="132">
      <c r="A178" s="220" t="inlineStr">
        <is>
          <t>A167</t>
        </is>
      </c>
      <c r="B178" s="220" t="inlineStr">
        <is>
          <t>LCC-2504094</t>
        </is>
      </c>
      <c r="C178" s="220" t="n">
        <v>178.5</v>
      </c>
      <c r="D178" s="220" t="n">
        <v>365</v>
      </c>
      <c r="E178" s="220" t="n">
        <v>299</v>
      </c>
      <c r="F178" s="220">
        <f>ROUND((D178-E178)/D178*C178,2)</f>
        <v/>
      </c>
      <c r="G178" s="220">
        <f>ROUND(C178*0,2)</f>
        <v/>
      </c>
      <c r="H178" s="220" t="n">
        <v>0</v>
      </c>
    </row>
    <row r="179" ht="28" customHeight="1" s="132">
      <c r="A179" s="220" t="inlineStr">
        <is>
          <t>A168</t>
        </is>
      </c>
      <c r="B179" s="220" t="inlineStr">
        <is>
          <t>LCC-2504092</t>
        </is>
      </c>
      <c r="C179" s="220" t="n">
        <v>178.5</v>
      </c>
      <c r="D179" s="220" t="n">
        <v>365</v>
      </c>
      <c r="E179" s="220" t="n">
        <v>300</v>
      </c>
      <c r="F179" s="220">
        <f>ROUND((D179-E179)/D179*C179,2)</f>
        <v/>
      </c>
      <c r="G179" s="220">
        <f>ROUND(C179*0,2)</f>
        <v/>
      </c>
      <c r="H179" s="220" t="n">
        <v>0</v>
      </c>
    </row>
    <row r="180" ht="28" customHeight="1" s="132">
      <c r="A180" s="220" t="inlineStr">
        <is>
          <t>A169</t>
        </is>
      </c>
      <c r="B180" s="220" t="inlineStr">
        <is>
          <t>LCC-2504101</t>
        </is>
      </c>
      <c r="C180" s="220" t="n">
        <v>178.5</v>
      </c>
      <c r="D180" s="220" t="n">
        <v>365</v>
      </c>
      <c r="E180" s="220" t="n">
        <v>296</v>
      </c>
      <c r="F180" s="220">
        <f>ROUND((D180-E180)/D180*C180,2)</f>
        <v/>
      </c>
      <c r="G180" s="220">
        <f>ROUND(C180*0,2)</f>
        <v/>
      </c>
      <c r="H180" s="220" t="n">
        <v>0</v>
      </c>
    </row>
    <row r="181" ht="28" customHeight="1" s="132">
      <c r="A181" s="220" t="inlineStr">
        <is>
          <t>A170</t>
        </is>
      </c>
      <c r="B181" s="220" t="inlineStr">
        <is>
          <t>LCC-2504099</t>
        </is>
      </c>
      <c r="C181" s="220" t="n">
        <v>178.5</v>
      </c>
      <c r="D181" s="220" t="n">
        <v>365</v>
      </c>
      <c r="E181" s="220" t="n">
        <v>299</v>
      </c>
      <c r="F181" s="220">
        <f>ROUND((D181-E181)/D181*C181,2)</f>
        <v/>
      </c>
      <c r="G181" s="220">
        <f>ROUND(C181*0,2)</f>
        <v/>
      </c>
      <c r="H181" s="220" t="n">
        <v>0</v>
      </c>
    </row>
    <row r="182" ht="28" customHeight="1" s="132">
      <c r="A182" s="220" t="inlineStr">
        <is>
          <t>A171</t>
        </is>
      </c>
      <c r="B182" s="220" t="inlineStr">
        <is>
          <t>LCC-2504104</t>
        </is>
      </c>
      <c r="C182" s="220" t="n">
        <v>351.9</v>
      </c>
      <c r="D182" s="220" t="n">
        <v>365</v>
      </c>
      <c r="E182" s="220" t="n">
        <v>296</v>
      </c>
      <c r="F182" s="220">
        <f>ROUND((D182-E182)/D182*C182,2)</f>
        <v/>
      </c>
      <c r="G182" s="220">
        <f>ROUND(C182*0,2)</f>
        <v/>
      </c>
      <c r="H182" s="220" t="n">
        <v>0</v>
      </c>
    </row>
    <row r="183" ht="28" customHeight="1" s="132">
      <c r="A183" s="220" t="inlineStr">
        <is>
          <t>A172</t>
        </is>
      </c>
      <c r="B183" s="220" t="inlineStr">
        <is>
          <t>LCC-2504107</t>
        </is>
      </c>
      <c r="C183" s="220" t="n">
        <v>297.5</v>
      </c>
      <c r="D183" s="220" t="n">
        <v>365</v>
      </c>
      <c r="E183" s="220" t="n">
        <v>272</v>
      </c>
      <c r="F183" s="220">
        <f>ROUND((D183-E183)/D183*C183,2)</f>
        <v/>
      </c>
      <c r="G183" s="220">
        <f>ROUND(C183*0,2)</f>
        <v/>
      </c>
      <c r="H183" s="220" t="n">
        <v>0</v>
      </c>
    </row>
    <row r="184" ht="28" customHeight="1" s="132">
      <c r="A184" s="220" t="inlineStr">
        <is>
          <t>A173</t>
        </is>
      </c>
      <c r="B184" s="220" t="inlineStr">
        <is>
          <t>LCC-2504105</t>
        </is>
      </c>
      <c r="C184" s="220" t="n">
        <v>418.2</v>
      </c>
      <c r="D184" s="220" t="n">
        <v>365</v>
      </c>
      <c r="E184" s="220" t="n">
        <v>296</v>
      </c>
      <c r="F184" s="220">
        <f>ROUND((D184-E184)/D184*C184,2)</f>
        <v/>
      </c>
      <c r="G184" s="220">
        <f>ROUND(C184*0,2)</f>
        <v/>
      </c>
      <c r="H184" s="220" t="n">
        <v>0</v>
      </c>
    </row>
    <row r="185" ht="28" customHeight="1" s="132">
      <c r="A185" s="220" t="inlineStr">
        <is>
          <t>A174</t>
        </is>
      </c>
      <c r="B185" s="220" t="inlineStr">
        <is>
          <t>LCC-2504106</t>
        </is>
      </c>
      <c r="C185" s="220" t="n">
        <v>351.9</v>
      </c>
      <c r="D185" s="220" t="n">
        <v>365</v>
      </c>
      <c r="E185" s="220" t="n">
        <v>294</v>
      </c>
      <c r="F185" s="220">
        <f>ROUND((D185-E185)/D185*C185,2)</f>
        <v/>
      </c>
      <c r="G185" s="220">
        <f>ROUND(C185*0,2)</f>
        <v/>
      </c>
      <c r="H185" s="220" t="n">
        <v>0</v>
      </c>
    </row>
    <row r="186" ht="28" customHeight="1" s="132">
      <c r="A186" s="220" t="inlineStr">
        <is>
          <t>A175</t>
        </is>
      </c>
      <c r="B186" s="220" t="inlineStr">
        <is>
          <t>LCC-2503970</t>
        </is>
      </c>
      <c r="C186" s="220" t="n">
        <v>7574.68</v>
      </c>
      <c r="D186" s="220" t="n">
        <v>365</v>
      </c>
      <c r="E186" s="220" t="n">
        <v>365</v>
      </c>
      <c r="F186" s="220">
        <f>ROUND((D186-E186)/D186*C186,2)</f>
        <v/>
      </c>
      <c r="G186" s="220">
        <f>ROUND(C186*0,2)</f>
        <v/>
      </c>
      <c r="H186" s="220" t="n">
        <v>0</v>
      </c>
    </row>
    <row r="187" ht="28" customHeight="1" s="132">
      <c r="A187" s="220" t="inlineStr">
        <is>
          <t>A176</t>
        </is>
      </c>
      <c r="B187" s="220" t="inlineStr">
        <is>
          <t>LCC-2504109</t>
        </is>
      </c>
      <c r="C187" s="220" t="n">
        <v>2349.95</v>
      </c>
      <c r="D187" s="220" t="n">
        <v>365</v>
      </c>
      <c r="E187" s="220" t="n">
        <v>335</v>
      </c>
      <c r="F187" s="220">
        <f>ROUND((D187-E187)/D187*C187,2)</f>
        <v/>
      </c>
      <c r="G187" s="220">
        <f>ROUND(C187*0,2)</f>
        <v/>
      </c>
      <c r="H187" s="220" t="n">
        <v>0</v>
      </c>
    </row>
    <row r="188" ht="28" customHeight="1" s="132">
      <c r="A188" s="220" t="inlineStr">
        <is>
          <t>A177</t>
        </is>
      </c>
      <c r="B188" s="220" t="inlineStr">
        <is>
          <t>LCC-2504110</t>
        </is>
      </c>
      <c r="C188" s="220" t="n">
        <v>929.05</v>
      </c>
      <c r="D188" s="220" t="n">
        <v>365</v>
      </c>
      <c r="E188" s="220" t="n">
        <v>289</v>
      </c>
      <c r="F188" s="220">
        <f>ROUND((D188-E188)/D188*C188,2)</f>
        <v/>
      </c>
      <c r="G188" s="220">
        <f>ROUND(C188*0,2)</f>
        <v/>
      </c>
      <c r="H188" s="220" t="n">
        <v>0</v>
      </c>
    </row>
    <row r="189" ht="28" customHeight="1" s="132">
      <c r="A189" s="220" t="inlineStr">
        <is>
          <t>A178</t>
        </is>
      </c>
      <c r="B189" s="220" t="inlineStr">
        <is>
          <t>LCC-2504112</t>
        </is>
      </c>
      <c r="C189" s="220" t="n">
        <v>7827.09</v>
      </c>
      <c r="D189" s="220" t="n">
        <v>365</v>
      </c>
      <c r="E189" s="220" t="n">
        <v>290</v>
      </c>
      <c r="F189" s="220">
        <f>ROUND((D189-E189)/D189*C189,2)</f>
        <v/>
      </c>
      <c r="G189" s="220">
        <f>ROUND(C189*0,2)</f>
        <v/>
      </c>
      <c r="H189" s="220" t="n">
        <v>0</v>
      </c>
    </row>
    <row r="190" ht="28" customHeight="1" s="132">
      <c r="A190" s="220" t="inlineStr">
        <is>
          <t>A179</t>
        </is>
      </c>
      <c r="B190" s="220" t="inlineStr">
        <is>
          <t>LCC-2504111</t>
        </is>
      </c>
      <c r="C190" s="220" t="n">
        <v>178.5</v>
      </c>
      <c r="D190" s="220" t="n">
        <v>365</v>
      </c>
      <c r="E190" s="220" t="n">
        <v>289</v>
      </c>
      <c r="F190" s="220">
        <f>ROUND((D190-E190)/D190*C190,2)</f>
        <v/>
      </c>
      <c r="G190" s="220">
        <f>ROUND(C190*0,2)</f>
        <v/>
      </c>
      <c r="H190" s="220" t="n">
        <v>0</v>
      </c>
    </row>
    <row r="191" ht="28" customHeight="1" s="132">
      <c r="A191" s="220" t="inlineStr">
        <is>
          <t>A180</t>
        </is>
      </c>
      <c r="B191" s="220" t="inlineStr">
        <is>
          <t>LCC-2504113</t>
        </is>
      </c>
      <c r="C191" s="220" t="n">
        <v>850</v>
      </c>
      <c r="D191" s="220" t="n">
        <v>365</v>
      </c>
      <c r="E191" s="220" t="n">
        <v>288</v>
      </c>
      <c r="F191" s="220">
        <f>ROUND((D191-E191)/D191*C191,2)</f>
        <v/>
      </c>
      <c r="G191" s="220">
        <f>ROUND(C191*0,2)</f>
        <v/>
      </c>
      <c r="H191" s="220" t="n">
        <v>0</v>
      </c>
    </row>
    <row r="192" ht="28" customHeight="1" s="132">
      <c r="A192" s="220" t="inlineStr">
        <is>
          <t>A181</t>
        </is>
      </c>
      <c r="B192" s="220" t="inlineStr">
        <is>
          <t>LCC-2504114</t>
        </is>
      </c>
      <c r="C192" s="220" t="n">
        <v>1322.18</v>
      </c>
      <c r="D192" s="220" t="n">
        <v>365</v>
      </c>
      <c r="E192" s="220" t="n">
        <v>289</v>
      </c>
      <c r="F192" s="220">
        <f>ROUND((D192-E192)/D192*C192,2)</f>
        <v/>
      </c>
      <c r="G192" s="220">
        <f>ROUND(C192*0,2)</f>
        <v/>
      </c>
      <c r="H192" s="220" t="n">
        <v>0</v>
      </c>
    </row>
    <row r="193" ht="28" customHeight="1" s="132">
      <c r="A193" s="220" t="inlineStr">
        <is>
          <t>A182</t>
        </is>
      </c>
      <c r="B193" s="220" t="inlineStr">
        <is>
          <t>LCC-2504117</t>
        </is>
      </c>
      <c r="C193" s="220" t="n">
        <v>178.5</v>
      </c>
      <c r="D193" s="220" t="n">
        <v>365</v>
      </c>
      <c r="E193" s="220" t="n">
        <v>274</v>
      </c>
      <c r="F193" s="220">
        <f>ROUND((D193-E193)/D193*C193,2)</f>
        <v/>
      </c>
      <c r="G193" s="220">
        <f>ROUND(C193*0,2)</f>
        <v/>
      </c>
      <c r="H193" s="220" t="n">
        <v>0</v>
      </c>
    </row>
    <row r="194" ht="28" customHeight="1" s="132">
      <c r="A194" s="220" t="inlineStr">
        <is>
          <t>A183</t>
        </is>
      </c>
      <c r="B194" s="220" t="inlineStr">
        <is>
          <t>LCC-2504116</t>
        </is>
      </c>
      <c r="C194" s="220" t="n">
        <v>178.5</v>
      </c>
      <c r="D194" s="220" t="n">
        <v>365</v>
      </c>
      <c r="E194" s="220" t="n">
        <v>274</v>
      </c>
      <c r="F194" s="220">
        <f>ROUND((D194-E194)/D194*C194,2)</f>
        <v/>
      </c>
      <c r="G194" s="220">
        <f>ROUND(C194*0,2)</f>
        <v/>
      </c>
      <c r="H194" s="220" t="n">
        <v>0</v>
      </c>
    </row>
    <row r="195" ht="28" customHeight="1" s="132">
      <c r="A195" s="220" t="inlineStr">
        <is>
          <t>A184</t>
        </is>
      </c>
      <c r="B195" s="220" t="inlineStr">
        <is>
          <t>LCC-2504118</t>
        </is>
      </c>
      <c r="C195" s="220" t="n">
        <v>10606.3</v>
      </c>
      <c r="D195" s="220" t="n">
        <v>365</v>
      </c>
      <c r="E195" s="220" t="n">
        <v>275</v>
      </c>
      <c r="F195" s="220">
        <f>ROUND((D195-E195)/D195*C195,2)</f>
        <v/>
      </c>
      <c r="G195" s="220">
        <f>ROUND(C195*0,2)</f>
        <v/>
      </c>
      <c r="H195" s="220" t="n">
        <v>0</v>
      </c>
    </row>
    <row r="196" ht="28" customHeight="1" s="132">
      <c r="A196" s="220" t="inlineStr">
        <is>
          <t>A185</t>
        </is>
      </c>
      <c r="B196" s="220" t="inlineStr">
        <is>
          <t>LCC-2504115</t>
        </is>
      </c>
      <c r="C196" s="220" t="n">
        <v>4250</v>
      </c>
      <c r="D196" s="220" t="n">
        <v>275</v>
      </c>
      <c r="E196" s="220" t="n">
        <v>275</v>
      </c>
      <c r="F196" s="220">
        <f>ROUND((D196-E196)/D196*C196,2)</f>
        <v/>
      </c>
      <c r="G196" s="220">
        <f>ROUND(C196*0,2)</f>
        <v/>
      </c>
      <c r="H196" s="220" t="n">
        <v>0</v>
      </c>
    </row>
    <row r="197" ht="28" customHeight="1" s="132">
      <c r="A197" s="220" t="inlineStr">
        <is>
          <t>A186</t>
        </is>
      </c>
      <c r="B197" s="220" t="inlineStr">
        <is>
          <t>LCC-2504119</t>
        </is>
      </c>
      <c r="C197" s="220" t="n">
        <v>535.5</v>
      </c>
      <c r="D197" s="220" t="n">
        <v>365</v>
      </c>
      <c r="E197" s="220" t="n">
        <v>272</v>
      </c>
      <c r="F197" s="220">
        <f>ROUND((D197-E197)/D197*C197,2)</f>
        <v/>
      </c>
      <c r="G197" s="220">
        <f>ROUND(C197*0,2)</f>
        <v/>
      </c>
      <c r="H197" s="220" t="n">
        <v>0</v>
      </c>
    </row>
    <row r="198" ht="28" customHeight="1" s="132">
      <c r="A198" s="220" t="inlineStr">
        <is>
          <t>A187</t>
        </is>
      </c>
      <c r="B198" s="220" t="inlineStr">
        <is>
          <t>LCC-2504121</t>
        </is>
      </c>
      <c r="C198" s="220" t="n">
        <v>2635</v>
      </c>
      <c r="D198" s="220" t="n">
        <v>365</v>
      </c>
      <c r="E198" s="220" t="n">
        <v>272</v>
      </c>
      <c r="F198" s="220">
        <f>ROUND((D198-E198)/D198*C198,2)</f>
        <v/>
      </c>
      <c r="G198" s="220">
        <f>ROUND(C198*0,2)</f>
        <v/>
      </c>
      <c r="H198" s="220" t="n">
        <v>0</v>
      </c>
    </row>
    <row r="199" ht="28" customHeight="1" s="132">
      <c r="A199" s="220" t="inlineStr">
        <is>
          <t>A188</t>
        </is>
      </c>
      <c r="B199" s="220" t="inlineStr">
        <is>
          <t>LCC-2504120</t>
        </is>
      </c>
      <c r="C199" s="220" t="n">
        <v>1944.34</v>
      </c>
      <c r="D199" s="220" t="n">
        <v>365</v>
      </c>
      <c r="E199" s="220" t="n">
        <v>267</v>
      </c>
      <c r="F199" s="220">
        <f>ROUND((D199-E199)/D199*C199,2)</f>
        <v/>
      </c>
      <c r="G199" s="220">
        <f>ROUND(C199*0,2)</f>
        <v/>
      </c>
      <c r="H199" s="220" t="n">
        <v>0</v>
      </c>
    </row>
    <row r="200" ht="28" customHeight="1" s="132">
      <c r="A200" s="220" t="inlineStr">
        <is>
          <t>A189</t>
        </is>
      </c>
      <c r="B200" s="220" t="inlineStr">
        <is>
          <t>LCP-2504127</t>
        </is>
      </c>
      <c r="C200" s="220" t="n">
        <v>212.5</v>
      </c>
      <c r="D200" s="220" t="n">
        <v>365</v>
      </c>
      <c r="E200" s="220" t="n">
        <v>271</v>
      </c>
      <c r="F200" s="220">
        <f>ROUND((D200-E200)/D200*C200,2)</f>
        <v/>
      </c>
      <c r="G200" s="220">
        <f>ROUND(C200*0,2)</f>
        <v/>
      </c>
      <c r="H200" s="220" t="n">
        <v>0</v>
      </c>
    </row>
    <row r="201" ht="28" customHeight="1" s="132">
      <c r="A201" s="220" t="inlineStr">
        <is>
          <t>A190</t>
        </is>
      </c>
      <c r="B201" s="220" t="inlineStr">
        <is>
          <t>LCC-2504124</t>
        </is>
      </c>
      <c r="C201" s="220" t="n">
        <v>178.5</v>
      </c>
      <c r="D201" s="220" t="n">
        <v>365</v>
      </c>
      <c r="E201" s="220" t="n">
        <v>272</v>
      </c>
      <c r="F201" s="220">
        <f>ROUND((D201-E201)/D201*C201,2)</f>
        <v/>
      </c>
      <c r="G201" s="220">
        <f>ROUND(C201*0,2)</f>
        <v/>
      </c>
      <c r="H201" s="220" t="n">
        <v>0</v>
      </c>
    </row>
    <row r="202" ht="28" customHeight="1" s="132">
      <c r="A202" s="220" t="inlineStr">
        <is>
          <t>A191</t>
        </is>
      </c>
      <c r="B202" s="220" t="inlineStr">
        <is>
          <t>LCC-2504125</t>
        </is>
      </c>
      <c r="C202" s="220" t="n">
        <v>178.5</v>
      </c>
      <c r="D202" s="220" t="n">
        <v>365</v>
      </c>
      <c r="E202" s="220" t="n">
        <v>272</v>
      </c>
      <c r="F202" s="220">
        <f>ROUND((D202-E202)/D202*C202,2)</f>
        <v/>
      </c>
      <c r="G202" s="220">
        <f>ROUND(C202*0,2)</f>
        <v/>
      </c>
      <c r="H202" s="220" t="n">
        <v>0</v>
      </c>
    </row>
    <row r="203" ht="28" customHeight="1" s="132">
      <c r="A203" s="220" t="inlineStr">
        <is>
          <t>A192</t>
        </is>
      </c>
      <c r="B203" s="220" t="inlineStr">
        <is>
          <t>LCC-2504123</t>
        </is>
      </c>
      <c r="C203" s="220" t="n">
        <v>3323.5</v>
      </c>
      <c r="D203" s="220" t="n">
        <v>365</v>
      </c>
      <c r="E203" s="220" t="n">
        <v>275</v>
      </c>
      <c r="F203" s="220">
        <f>ROUND((D203-E203)/D203*C203,2)</f>
        <v/>
      </c>
      <c r="G203" s="220">
        <f>ROUND(C203*0,2)</f>
        <v/>
      </c>
      <c r="H203" s="220" t="n">
        <v>0</v>
      </c>
    </row>
    <row r="204" ht="28" customHeight="1" s="132">
      <c r="A204" s="220" t="inlineStr">
        <is>
          <t>A193</t>
        </is>
      </c>
      <c r="B204" s="220" t="inlineStr">
        <is>
          <t>LCC-2504035</t>
        </is>
      </c>
      <c r="C204" s="220" t="n">
        <v>212.5</v>
      </c>
      <c r="D204" s="220" t="n">
        <v>365</v>
      </c>
      <c r="E204" s="220" t="n">
        <v>338</v>
      </c>
      <c r="F204" s="220">
        <f>ROUND((D204-E204)/D204*C204,2)</f>
        <v/>
      </c>
      <c r="G204" s="220">
        <f>ROUND(C204*0,2)</f>
        <v/>
      </c>
      <c r="H204" s="220" t="n">
        <v>0</v>
      </c>
    </row>
    <row r="205" ht="28" customHeight="1" s="132">
      <c r="A205" s="220" t="inlineStr">
        <is>
          <t>A194</t>
        </is>
      </c>
      <c r="B205" s="220" t="inlineStr">
        <is>
          <t>LCC-2504131</t>
        </is>
      </c>
      <c r="C205" s="220" t="n">
        <v>178.5</v>
      </c>
      <c r="D205" s="220" t="n">
        <v>365</v>
      </c>
      <c r="E205" s="220" t="n">
        <v>265</v>
      </c>
      <c r="F205" s="220">
        <f>ROUND((D205-E205)/D205*C205,2)</f>
        <v/>
      </c>
      <c r="G205" s="220">
        <f>ROUND(C205*0,2)</f>
        <v/>
      </c>
      <c r="H205" s="220" t="n">
        <v>0</v>
      </c>
    </row>
    <row r="206" ht="28" customHeight="1" s="132">
      <c r="A206" s="220" t="inlineStr">
        <is>
          <t>A195</t>
        </is>
      </c>
      <c r="B206" s="220" t="inlineStr">
        <is>
          <t>LCC-2504130</t>
        </is>
      </c>
      <c r="C206" s="220" t="n">
        <v>178.5</v>
      </c>
      <c r="D206" s="220" t="n">
        <v>365</v>
      </c>
      <c r="E206" s="220" t="n">
        <v>265</v>
      </c>
      <c r="F206" s="220">
        <f>ROUND((D206-E206)/D206*C206,2)</f>
        <v/>
      </c>
      <c r="G206" s="220">
        <f>ROUND(C206*0,2)</f>
        <v/>
      </c>
      <c r="H206" s="220" t="n">
        <v>0</v>
      </c>
    </row>
    <row r="207" ht="28" customHeight="1" s="132">
      <c r="A207" s="220" t="inlineStr">
        <is>
          <t>A196</t>
        </is>
      </c>
      <c r="B207" s="220" t="inlineStr">
        <is>
          <t>LCC-2504132</t>
        </is>
      </c>
      <c r="C207" s="220" t="n">
        <v>340</v>
      </c>
      <c r="D207" s="220" t="n">
        <v>365</v>
      </c>
      <c r="E207" s="220" t="n">
        <v>265</v>
      </c>
      <c r="F207" s="220">
        <f>ROUND((D207-E207)/D207*C207,2)</f>
        <v/>
      </c>
      <c r="G207" s="220">
        <f>ROUND(C207*0,2)</f>
        <v/>
      </c>
      <c r="H207" s="220" t="n">
        <v>0</v>
      </c>
    </row>
    <row r="208" ht="28" customHeight="1" s="132">
      <c r="A208" s="220" t="inlineStr">
        <is>
          <t>A197</t>
        </is>
      </c>
      <c r="B208" s="220" t="inlineStr">
        <is>
          <t>LCC-2504134</t>
        </is>
      </c>
      <c r="C208" s="220" t="n">
        <v>178.5</v>
      </c>
      <c r="D208" s="220" t="n">
        <v>365</v>
      </c>
      <c r="E208" s="220" t="n">
        <v>261</v>
      </c>
      <c r="F208" s="220">
        <f>ROUND((D208-E208)/D208*C208,2)</f>
        <v/>
      </c>
      <c r="G208" s="220">
        <f>ROUND(C208*0,2)</f>
        <v/>
      </c>
      <c r="H208" s="220" t="n">
        <v>0</v>
      </c>
    </row>
    <row r="209" ht="28" customHeight="1" s="132">
      <c r="A209" s="220" t="inlineStr">
        <is>
          <t>A198</t>
        </is>
      </c>
      <c r="B209" s="220" t="inlineStr">
        <is>
          <t>LCC-2504135</t>
        </is>
      </c>
      <c r="C209" s="220" t="n">
        <v>178.5</v>
      </c>
      <c r="D209" s="220" t="n">
        <v>365</v>
      </c>
      <c r="E209" s="220" t="n">
        <v>261</v>
      </c>
      <c r="F209" s="220">
        <f>ROUND((D209-E209)/D209*C209,2)</f>
        <v/>
      </c>
      <c r="G209" s="220">
        <f>ROUND(C209*0,2)</f>
        <v/>
      </c>
      <c r="H209" s="220" t="n">
        <v>0</v>
      </c>
    </row>
    <row r="210" ht="28" customHeight="1" s="132">
      <c r="A210" s="220" t="inlineStr">
        <is>
          <t>A199</t>
        </is>
      </c>
      <c r="B210" s="220" t="inlineStr">
        <is>
          <t>LCC-2504136</t>
        </is>
      </c>
      <c r="C210" s="220" t="n">
        <v>178.5</v>
      </c>
      <c r="D210" s="220" t="n">
        <v>365</v>
      </c>
      <c r="E210" s="220" t="n">
        <v>259</v>
      </c>
      <c r="F210" s="220">
        <f>ROUND((D210-E210)/D210*C210,2)</f>
        <v/>
      </c>
      <c r="G210" s="220">
        <f>ROUND(C210*0,2)</f>
        <v/>
      </c>
      <c r="H210" s="220" t="n">
        <v>0</v>
      </c>
    </row>
    <row r="211" ht="28" customHeight="1" s="132">
      <c r="A211" s="220" t="inlineStr">
        <is>
          <t>A200</t>
        </is>
      </c>
      <c r="B211" s="220" t="inlineStr">
        <is>
          <t>LCP-2504140</t>
        </is>
      </c>
      <c r="C211" s="220" t="n">
        <v>212.5</v>
      </c>
      <c r="D211" s="220" t="n">
        <v>365</v>
      </c>
      <c r="E211" s="220" t="n">
        <v>253</v>
      </c>
      <c r="F211" s="220">
        <f>ROUND((D211-E211)/D211*C211,2)</f>
        <v/>
      </c>
      <c r="G211" s="220">
        <f>ROUND(C211*0,2)</f>
        <v/>
      </c>
      <c r="H211" s="220" t="n">
        <v>0</v>
      </c>
    </row>
    <row r="212" ht="28" customHeight="1" s="132">
      <c r="A212" s="220" t="inlineStr">
        <is>
          <t>A201</t>
        </is>
      </c>
      <c r="B212" s="220" t="inlineStr">
        <is>
          <t>LCC-2504139</t>
        </is>
      </c>
      <c r="C212" s="220" t="n">
        <v>1647.3</v>
      </c>
      <c r="D212" s="220" t="n">
        <v>365</v>
      </c>
      <c r="E212" s="220" t="n">
        <v>245</v>
      </c>
      <c r="F212" s="220">
        <f>ROUND((D212-E212)/D212*C212,2)</f>
        <v/>
      </c>
      <c r="G212" s="220">
        <f>ROUND(C212*0,2)</f>
        <v/>
      </c>
      <c r="H212" s="220" t="n">
        <v>0</v>
      </c>
    </row>
    <row r="213" ht="28" customHeight="1" s="132">
      <c r="A213" s="220" t="inlineStr">
        <is>
          <t>A202</t>
        </is>
      </c>
      <c r="B213" s="220" t="inlineStr">
        <is>
          <t>LCC-2504138</t>
        </is>
      </c>
      <c r="C213" s="220" t="n">
        <v>178.5</v>
      </c>
      <c r="D213" s="220" t="n">
        <v>365</v>
      </c>
      <c r="E213" s="220" t="n">
        <v>254</v>
      </c>
      <c r="F213" s="220">
        <f>ROUND((D213-E213)/D213*C213,2)</f>
        <v/>
      </c>
      <c r="G213" s="220">
        <f>ROUND(C213*0,2)</f>
        <v/>
      </c>
      <c r="H213" s="220" t="n">
        <v>0</v>
      </c>
    </row>
    <row r="214" ht="28" customHeight="1" s="132">
      <c r="A214" s="220" t="inlineStr">
        <is>
          <t>A203</t>
        </is>
      </c>
      <c r="B214" s="220" t="inlineStr">
        <is>
          <t>LCC-2504142</t>
        </is>
      </c>
      <c r="C214" s="220" t="n">
        <v>209.1</v>
      </c>
      <c r="D214" s="220" t="n">
        <v>365</v>
      </c>
      <c r="E214" s="220" t="n">
        <v>253</v>
      </c>
      <c r="F214" s="220">
        <f>ROUND((D214-E214)/D214*C214,2)</f>
        <v/>
      </c>
      <c r="G214" s="220">
        <f>ROUND(C214*0,2)</f>
        <v/>
      </c>
      <c r="H214" s="220" t="n">
        <v>0</v>
      </c>
    </row>
    <row r="215" ht="28" customHeight="1" s="132">
      <c r="A215" s="220" t="inlineStr">
        <is>
          <t>A204</t>
        </is>
      </c>
      <c r="B215" s="220" t="inlineStr">
        <is>
          <t>LCC-2504141</t>
        </is>
      </c>
      <c r="C215" s="220" t="n">
        <v>178.5</v>
      </c>
      <c r="D215" s="220" t="n">
        <v>365</v>
      </c>
      <c r="E215" s="220" t="n">
        <v>252</v>
      </c>
      <c r="F215" s="220">
        <f>ROUND((D215-E215)/D215*C215,2)</f>
        <v/>
      </c>
      <c r="G215" s="220">
        <f>ROUND(C215*0,2)</f>
        <v/>
      </c>
      <c r="H215" s="220" t="n">
        <v>0</v>
      </c>
    </row>
    <row r="216" ht="28" customHeight="1" s="132">
      <c r="A216" s="220" t="inlineStr">
        <is>
          <t>A205</t>
        </is>
      </c>
      <c r="B216" s="220" t="inlineStr">
        <is>
          <t>LCC-2504144</t>
        </is>
      </c>
      <c r="C216" s="220" t="n">
        <v>212.5</v>
      </c>
      <c r="D216" s="220" t="n">
        <v>365</v>
      </c>
      <c r="E216" s="220" t="n">
        <v>250</v>
      </c>
      <c r="F216" s="220">
        <f>ROUND((D216-E216)/D216*C216,2)</f>
        <v/>
      </c>
      <c r="G216" s="220">
        <f>ROUND(C216*0,2)</f>
        <v/>
      </c>
      <c r="H216" s="220" t="n">
        <v>0</v>
      </c>
    </row>
    <row r="217" ht="28" customHeight="1" s="132">
      <c r="A217" s="220" t="inlineStr">
        <is>
          <t>A206</t>
        </is>
      </c>
      <c r="B217" s="220" t="inlineStr">
        <is>
          <t>LCC-2504145</t>
        </is>
      </c>
      <c r="C217" s="220" t="n">
        <v>340</v>
      </c>
      <c r="D217" s="220" t="n">
        <v>365</v>
      </c>
      <c r="E217" s="220" t="n">
        <v>250</v>
      </c>
      <c r="F217" s="220">
        <f>ROUND((D217-E217)/D217*C217,2)</f>
        <v/>
      </c>
      <c r="G217" s="220">
        <f>ROUND(C217*0,2)</f>
        <v/>
      </c>
      <c r="H217" s="220" t="n">
        <v>0</v>
      </c>
    </row>
    <row r="218" ht="28" customHeight="1" s="132">
      <c r="A218" s="220" t="inlineStr">
        <is>
          <t>A207</t>
        </is>
      </c>
      <c r="B218" s="220" t="inlineStr">
        <is>
          <t>LCC-2504148</t>
        </is>
      </c>
      <c r="C218" s="220" t="n">
        <v>212.5</v>
      </c>
      <c r="D218" s="220" t="n">
        <v>365</v>
      </c>
      <c r="E218" s="220" t="n">
        <v>246</v>
      </c>
      <c r="F218" s="220">
        <f>ROUND((D218-E218)/D218*C218,2)</f>
        <v/>
      </c>
      <c r="G218" s="220">
        <f>ROUND(C218*0,2)</f>
        <v/>
      </c>
      <c r="H218" s="220" t="n">
        <v>0</v>
      </c>
    </row>
    <row r="219" ht="28" customHeight="1" s="132">
      <c r="A219" s="220" t="inlineStr">
        <is>
          <t>A208</t>
        </is>
      </c>
      <c r="B219" s="220" t="inlineStr">
        <is>
          <t>LCC-2504149</t>
        </is>
      </c>
      <c r="C219" s="220" t="n">
        <v>178.5</v>
      </c>
      <c r="D219" s="220" t="n">
        <v>365</v>
      </c>
      <c r="E219" s="220" t="n">
        <v>246</v>
      </c>
      <c r="F219" s="220">
        <f>ROUND((D219-E219)/D219*C219,2)</f>
        <v/>
      </c>
      <c r="G219" s="220">
        <f>ROUND(C219*0,2)</f>
        <v/>
      </c>
      <c r="H219" s="220" t="n">
        <v>0</v>
      </c>
    </row>
    <row r="220" ht="28" customHeight="1" s="132">
      <c r="A220" s="220" t="inlineStr">
        <is>
          <t>A209</t>
        </is>
      </c>
      <c r="B220" s="220" t="inlineStr">
        <is>
          <t>LCC-2504151</t>
        </is>
      </c>
      <c r="C220" s="220" t="n">
        <v>209.1</v>
      </c>
      <c r="D220" s="220" t="n">
        <v>365</v>
      </c>
      <c r="E220" s="220" t="n">
        <v>246</v>
      </c>
      <c r="F220" s="220">
        <f>ROUND((D220-E220)/D220*C220,2)</f>
        <v/>
      </c>
      <c r="G220" s="220">
        <f>ROUND(C220*0,2)</f>
        <v/>
      </c>
      <c r="H220" s="220" t="n">
        <v>0</v>
      </c>
    </row>
    <row r="221" ht="28" customHeight="1" s="132">
      <c r="A221" s="220" t="inlineStr">
        <is>
          <t>A210</t>
        </is>
      </c>
      <c r="B221" s="220" t="inlineStr">
        <is>
          <t>LCC-2504153</t>
        </is>
      </c>
      <c r="C221" s="220" t="n">
        <v>425</v>
      </c>
      <c r="D221" s="220" t="n">
        <v>365</v>
      </c>
      <c r="E221" s="220" t="n">
        <v>223</v>
      </c>
      <c r="F221" s="220">
        <f>ROUND((D221-E221)/D221*C221,2)</f>
        <v/>
      </c>
      <c r="G221" s="220">
        <f>ROUND(C221*0,2)</f>
        <v/>
      </c>
      <c r="H221" s="220" t="n">
        <v>0</v>
      </c>
    </row>
    <row r="222" ht="28" customHeight="1" s="132">
      <c r="A222" s="220" t="inlineStr">
        <is>
          <t>A211</t>
        </is>
      </c>
      <c r="B222" s="220" t="inlineStr">
        <is>
          <t>LCC-2504157</t>
        </is>
      </c>
      <c r="C222" s="220" t="n">
        <v>178.5</v>
      </c>
      <c r="D222" s="220" t="n">
        <v>365</v>
      </c>
      <c r="E222" s="220" t="n">
        <v>244</v>
      </c>
      <c r="F222" s="220">
        <f>ROUND((D222-E222)/D222*C222,2)</f>
        <v/>
      </c>
      <c r="G222" s="220">
        <f>ROUND(C222*0,2)</f>
        <v/>
      </c>
      <c r="H222" s="220" t="n">
        <v>0</v>
      </c>
    </row>
    <row r="223" ht="28" customHeight="1" s="132">
      <c r="A223" s="220" t="inlineStr">
        <is>
          <t>A212</t>
        </is>
      </c>
      <c r="B223" s="220" t="inlineStr">
        <is>
          <t>LCC-2504156</t>
        </is>
      </c>
      <c r="C223" s="220" t="n">
        <v>595</v>
      </c>
      <c r="D223" s="220" t="n">
        <v>365</v>
      </c>
      <c r="E223" s="220" t="n">
        <v>244</v>
      </c>
      <c r="F223" s="220">
        <f>ROUND((D223-E223)/D223*C223,2)</f>
        <v/>
      </c>
      <c r="G223" s="220">
        <f>ROUND(C223*0,2)</f>
        <v/>
      </c>
      <c r="H223" s="220" t="n">
        <v>0</v>
      </c>
    </row>
    <row r="224" ht="28" customHeight="1" s="132">
      <c r="A224" s="220" t="inlineStr">
        <is>
          <t>A213</t>
        </is>
      </c>
      <c r="B224" s="220" t="inlineStr">
        <is>
          <t>LCC-2504159</t>
        </is>
      </c>
      <c r="C224" s="220" t="n">
        <v>178.5</v>
      </c>
      <c r="D224" s="220" t="n">
        <v>365</v>
      </c>
      <c r="E224" s="220" t="n">
        <v>240</v>
      </c>
      <c r="F224" s="220">
        <f>ROUND((D224-E224)/D224*C224,2)</f>
        <v/>
      </c>
      <c r="G224" s="220">
        <f>ROUND(C224*0,2)</f>
        <v/>
      </c>
      <c r="H224" s="220" t="n">
        <v>0</v>
      </c>
    </row>
    <row r="225" ht="28" customHeight="1" s="132">
      <c r="A225" s="220" t="inlineStr">
        <is>
          <t>A214</t>
        </is>
      </c>
      <c r="B225" s="220" t="inlineStr">
        <is>
          <t>LCC-2504158</t>
        </is>
      </c>
      <c r="C225" s="220" t="n">
        <v>178.5</v>
      </c>
      <c r="D225" s="220" t="n">
        <v>365</v>
      </c>
      <c r="E225" s="220" t="n">
        <v>240</v>
      </c>
      <c r="F225" s="220">
        <f>ROUND((D225-E225)/D225*C225,2)</f>
        <v/>
      </c>
      <c r="G225" s="220">
        <f>ROUND(C225*0,2)</f>
        <v/>
      </c>
      <c r="H225" s="220" t="n">
        <v>0</v>
      </c>
    </row>
    <row r="226" ht="28" customHeight="1" s="132">
      <c r="A226" s="220" t="inlineStr">
        <is>
          <t>A215</t>
        </is>
      </c>
      <c r="B226" s="220" t="inlineStr">
        <is>
          <t>LCP-2504161</t>
        </is>
      </c>
      <c r="C226" s="220" t="n">
        <v>212.5</v>
      </c>
      <c r="D226" s="220" t="n">
        <v>365</v>
      </c>
      <c r="E226" s="220" t="n">
        <v>239</v>
      </c>
      <c r="F226" s="220">
        <f>ROUND((D226-E226)/D226*C226,2)</f>
        <v/>
      </c>
      <c r="G226" s="220">
        <f>ROUND(C226*0,2)</f>
        <v/>
      </c>
      <c r="H226" s="220" t="n">
        <v>0</v>
      </c>
    </row>
    <row r="227" ht="28" customHeight="1" s="132">
      <c r="A227" s="220" t="inlineStr">
        <is>
          <t>A216</t>
        </is>
      </c>
      <c r="B227" s="220" t="inlineStr">
        <is>
          <t>LCC-2504162</t>
        </is>
      </c>
      <c r="C227" s="220" t="n">
        <v>178.5</v>
      </c>
      <c r="D227" s="220" t="n">
        <v>365</v>
      </c>
      <c r="E227" s="220" t="n">
        <v>239</v>
      </c>
      <c r="F227" s="220">
        <f>ROUND((D227-E227)/D227*C227,2)</f>
        <v/>
      </c>
      <c r="G227" s="220">
        <f>ROUND(C227*0,2)</f>
        <v/>
      </c>
      <c r="H227" s="220" t="n">
        <v>0</v>
      </c>
    </row>
    <row r="228" ht="28" customHeight="1" s="132">
      <c r="A228" s="220" t="inlineStr">
        <is>
          <t>A217</t>
        </is>
      </c>
      <c r="B228" s="220" t="inlineStr">
        <is>
          <t>LCC-2504163</t>
        </is>
      </c>
      <c r="C228" s="220" t="n">
        <v>178.5</v>
      </c>
      <c r="D228" s="220" t="n">
        <v>365</v>
      </c>
      <c r="E228" s="220" t="n">
        <v>238</v>
      </c>
      <c r="F228" s="220">
        <f>ROUND((D228-E228)/D228*C228,2)</f>
        <v/>
      </c>
      <c r="G228" s="220">
        <f>ROUND(C228*0,2)</f>
        <v/>
      </c>
      <c r="H228" s="220" t="n">
        <v>0</v>
      </c>
    </row>
    <row r="229" ht="28" customHeight="1" s="132">
      <c r="A229" s="220" t="inlineStr">
        <is>
          <t>A218</t>
        </is>
      </c>
      <c r="B229" s="220" t="inlineStr">
        <is>
          <t>LCC-2504165</t>
        </is>
      </c>
      <c r="C229" s="220" t="n">
        <v>1258</v>
      </c>
      <c r="D229" s="220" t="n">
        <v>365</v>
      </c>
      <c r="E229" s="220" t="n">
        <v>238</v>
      </c>
      <c r="F229" s="220">
        <f>ROUND((D229-E229)/D229*C229,2)</f>
        <v/>
      </c>
      <c r="G229" s="220">
        <f>ROUND(C229*0,2)</f>
        <v/>
      </c>
      <c r="H229" s="220" t="n">
        <v>0</v>
      </c>
    </row>
    <row r="230" ht="28" customHeight="1" s="132">
      <c r="A230" s="220" t="inlineStr">
        <is>
          <t>A219</t>
        </is>
      </c>
      <c r="B230" s="220" t="inlineStr">
        <is>
          <t>LCC-2504167</t>
        </is>
      </c>
      <c r="C230" s="220" t="n">
        <v>8500</v>
      </c>
      <c r="D230" s="220" t="n">
        <v>239</v>
      </c>
      <c r="E230" s="220" t="n">
        <v>239</v>
      </c>
      <c r="F230" s="220">
        <f>ROUND((D230-E230)/D230*C230,2)</f>
        <v/>
      </c>
      <c r="G230" s="220">
        <f>ROUND(C230*0,2)</f>
        <v/>
      </c>
      <c r="H230" s="220" t="n">
        <v>0</v>
      </c>
    </row>
    <row r="231" ht="28" customHeight="1" s="132">
      <c r="A231" s="220" t="inlineStr">
        <is>
          <t>A220</t>
        </is>
      </c>
      <c r="B231" s="220" t="inlineStr">
        <is>
          <t>LCC-2504169</t>
        </is>
      </c>
      <c r="C231" s="220" t="n">
        <v>178.5</v>
      </c>
      <c r="D231" s="220" t="n">
        <v>365</v>
      </c>
      <c r="E231" s="220" t="n">
        <v>233</v>
      </c>
      <c r="F231" s="220">
        <f>ROUND((D231-E231)/D231*C231,2)</f>
        <v/>
      </c>
      <c r="G231" s="220">
        <f>ROUND(C231*0,2)</f>
        <v/>
      </c>
      <c r="H231" s="220" t="n">
        <v>0</v>
      </c>
    </row>
    <row r="232" ht="28" customHeight="1" s="132">
      <c r="A232" s="220" t="inlineStr">
        <is>
          <t>A221</t>
        </is>
      </c>
      <c r="B232" s="220" t="inlineStr">
        <is>
          <t>LCC-2504168</t>
        </is>
      </c>
      <c r="C232" s="220" t="n">
        <v>178.5</v>
      </c>
      <c r="D232" s="220" t="n">
        <v>365</v>
      </c>
      <c r="E232" s="220" t="n">
        <v>233</v>
      </c>
      <c r="F232" s="220">
        <f>ROUND((D232-E232)/D232*C232,2)</f>
        <v/>
      </c>
      <c r="G232" s="220">
        <f>ROUND(C232*0,2)</f>
        <v/>
      </c>
      <c r="H232" s="220" t="n">
        <v>0</v>
      </c>
    </row>
    <row r="233" ht="28" customHeight="1" s="132">
      <c r="A233" s="220" t="inlineStr">
        <is>
          <t>A222</t>
        </is>
      </c>
      <c r="B233" s="220" t="inlineStr">
        <is>
          <t>LCC-2504174</t>
        </is>
      </c>
      <c r="C233" s="220" t="n">
        <v>178.5</v>
      </c>
      <c r="D233" s="220" t="n">
        <v>365</v>
      </c>
      <c r="E233" s="220" t="n">
        <v>230</v>
      </c>
      <c r="F233" s="220">
        <f>ROUND((D233-E233)/D233*C233,2)</f>
        <v/>
      </c>
      <c r="G233" s="220">
        <f>ROUND(C233*0,2)</f>
        <v/>
      </c>
      <c r="H233" s="220" t="n">
        <v>0</v>
      </c>
    </row>
    <row r="234" ht="28" customHeight="1" s="132">
      <c r="A234" s="220" t="inlineStr">
        <is>
          <t>A223</t>
        </is>
      </c>
      <c r="B234" s="220" t="inlineStr">
        <is>
          <t>LCC-2504173</t>
        </is>
      </c>
      <c r="C234" s="220" t="n">
        <v>178.5</v>
      </c>
      <c r="D234" s="220" t="n">
        <v>365</v>
      </c>
      <c r="E234" s="220" t="n">
        <v>230</v>
      </c>
      <c r="F234" s="220">
        <f>ROUND((D234-E234)/D234*C234,2)</f>
        <v/>
      </c>
      <c r="G234" s="220">
        <f>ROUND(C234*0,2)</f>
        <v/>
      </c>
      <c r="H234" s="220" t="n">
        <v>0</v>
      </c>
    </row>
    <row r="235" ht="28" customHeight="1" s="132">
      <c r="A235" s="220" t="inlineStr">
        <is>
          <t>A224</t>
        </is>
      </c>
      <c r="B235" s="220" t="inlineStr">
        <is>
          <t>LCC-2504170</t>
        </is>
      </c>
      <c r="C235" s="220" t="n">
        <v>216.75</v>
      </c>
      <c r="D235" s="220" t="n">
        <v>365</v>
      </c>
      <c r="E235" s="220" t="n">
        <v>221</v>
      </c>
      <c r="F235" s="220">
        <f>ROUND((D235-E235)/D235*C235,2)</f>
        <v/>
      </c>
      <c r="G235" s="220">
        <f>ROUND(C235*0,2)</f>
        <v/>
      </c>
      <c r="H235" s="220" t="n">
        <v>0</v>
      </c>
    </row>
    <row r="236" ht="28" customHeight="1" s="132">
      <c r="A236" s="220" t="inlineStr">
        <is>
          <t>A225</t>
        </is>
      </c>
      <c r="B236" s="220" t="inlineStr">
        <is>
          <t>LCP-2504175</t>
        </is>
      </c>
      <c r="C236" s="220" t="n">
        <v>178.5</v>
      </c>
      <c r="D236" s="220" t="n">
        <v>365</v>
      </c>
      <c r="E236" s="220" t="n">
        <v>229</v>
      </c>
      <c r="F236" s="220">
        <f>ROUND((D236-E236)/D236*C236,2)</f>
        <v/>
      </c>
      <c r="G236" s="220">
        <f>ROUND(C236*0,2)</f>
        <v/>
      </c>
      <c r="H236" s="220" t="n">
        <v>0</v>
      </c>
    </row>
    <row r="237" ht="28" customHeight="1" s="132">
      <c r="A237" s="220" t="inlineStr">
        <is>
          <t>A226</t>
        </is>
      </c>
      <c r="B237" s="220" t="inlineStr">
        <is>
          <t>LCC-2504176</t>
        </is>
      </c>
      <c r="C237" s="220" t="n">
        <v>178.5</v>
      </c>
      <c r="D237" s="220" t="n">
        <v>365</v>
      </c>
      <c r="E237" s="220" t="n">
        <v>226</v>
      </c>
      <c r="F237" s="220">
        <f>ROUND((D237-E237)/D237*C237,2)</f>
        <v/>
      </c>
      <c r="G237" s="220">
        <f>ROUND(C237*0,2)</f>
        <v/>
      </c>
      <c r="H237" s="220" t="n">
        <v>0</v>
      </c>
    </row>
    <row r="238" ht="28" customHeight="1" s="132">
      <c r="A238" s="220" t="inlineStr">
        <is>
          <t>A227</t>
        </is>
      </c>
      <c r="B238" s="220" t="inlineStr">
        <is>
          <t>LCC-2504177</t>
        </is>
      </c>
      <c r="C238" s="220" t="n">
        <v>178.5</v>
      </c>
      <c r="D238" s="220" t="n">
        <v>365</v>
      </c>
      <c r="E238" s="220" t="n">
        <v>225</v>
      </c>
      <c r="F238" s="220">
        <f>ROUND((D238-E238)/D238*C238,2)</f>
        <v/>
      </c>
      <c r="G238" s="220">
        <f>ROUND(C238*0,2)</f>
        <v/>
      </c>
      <c r="H238" s="220" t="n">
        <v>0</v>
      </c>
    </row>
    <row r="239" ht="28" customHeight="1" s="132">
      <c r="A239" s="220" t="inlineStr">
        <is>
          <t>A228</t>
        </is>
      </c>
      <c r="B239" s="220" t="inlineStr">
        <is>
          <t>LCC-2504184</t>
        </is>
      </c>
      <c r="C239" s="220" t="n">
        <v>178.5</v>
      </c>
      <c r="D239" s="220" t="n">
        <v>365</v>
      </c>
      <c r="E239" s="220" t="n">
        <v>224</v>
      </c>
      <c r="F239" s="220">
        <f>ROUND((D239-E239)/D239*C239,2)</f>
        <v/>
      </c>
      <c r="G239" s="220">
        <f>ROUND(C239*0,2)</f>
        <v/>
      </c>
      <c r="H239" s="220" t="n">
        <v>0</v>
      </c>
    </row>
    <row r="240" ht="28" customHeight="1" s="132">
      <c r="A240" s="220" t="inlineStr">
        <is>
          <t>A229</t>
        </is>
      </c>
      <c r="B240" s="220" t="inlineStr">
        <is>
          <t>LCC-2504180</t>
        </is>
      </c>
      <c r="C240" s="220" t="n">
        <v>4662.25</v>
      </c>
      <c r="D240" s="220" t="n">
        <v>365</v>
      </c>
      <c r="E240" s="220" t="n">
        <v>224</v>
      </c>
      <c r="F240" s="220">
        <f>ROUND((D240-E240)/D240*C240,2)</f>
        <v/>
      </c>
      <c r="G240" s="220">
        <f>ROUND(C240*0,2)</f>
        <v/>
      </c>
      <c r="H240" s="220" t="n">
        <v>0</v>
      </c>
    </row>
    <row r="241" ht="28" customHeight="1" s="132">
      <c r="A241" s="220" t="inlineStr">
        <is>
          <t>A230</t>
        </is>
      </c>
      <c r="B241" s="220" t="inlineStr">
        <is>
          <t>LCC-2504185</t>
        </is>
      </c>
      <c r="C241" s="220" t="n">
        <v>340</v>
      </c>
      <c r="D241" s="220" t="n">
        <v>365</v>
      </c>
      <c r="E241" s="220" t="n">
        <v>224</v>
      </c>
      <c r="F241" s="220">
        <f>ROUND((D241-E241)/D241*C241,2)</f>
        <v/>
      </c>
      <c r="G241" s="220">
        <f>ROUND(C241*0,2)</f>
        <v/>
      </c>
      <c r="H241" s="220" t="n">
        <v>0</v>
      </c>
    </row>
    <row r="242" ht="28" customHeight="1" s="132">
      <c r="A242" s="220" t="inlineStr">
        <is>
          <t>A231</t>
        </is>
      </c>
      <c r="B242" s="220" t="inlineStr">
        <is>
          <t>LCC-2504182</t>
        </is>
      </c>
      <c r="C242" s="220" t="n">
        <v>178.5</v>
      </c>
      <c r="D242" s="220" t="n">
        <v>365</v>
      </c>
      <c r="E242" s="220" t="n">
        <v>224</v>
      </c>
      <c r="F242" s="220">
        <f>ROUND((D242-E242)/D242*C242,2)</f>
        <v/>
      </c>
      <c r="G242" s="220">
        <f>ROUND(C242*0,2)</f>
        <v/>
      </c>
      <c r="H242" s="220" t="n">
        <v>0</v>
      </c>
    </row>
    <row r="243" ht="28" customHeight="1" s="132">
      <c r="A243" s="220" t="inlineStr">
        <is>
          <t>A232</t>
        </is>
      </c>
      <c r="B243" s="220" t="inlineStr">
        <is>
          <t>LCC-2504183</t>
        </is>
      </c>
      <c r="C243" s="220" t="n">
        <v>1232.5</v>
      </c>
      <c r="D243" s="220" t="n">
        <v>365</v>
      </c>
      <c r="E243" s="220" t="n">
        <v>224</v>
      </c>
      <c r="F243" s="220">
        <f>ROUND((D243-E243)/D243*C243,2)</f>
        <v/>
      </c>
      <c r="G243" s="220">
        <f>ROUND(C243*0,2)</f>
        <v/>
      </c>
      <c r="H243" s="220" t="n">
        <v>0</v>
      </c>
    </row>
    <row r="244" ht="28" customHeight="1" s="132">
      <c r="A244" s="220" t="inlineStr">
        <is>
          <t>A233</t>
        </is>
      </c>
      <c r="B244" s="220" t="inlineStr">
        <is>
          <t>LCP-2504191</t>
        </is>
      </c>
      <c r="C244" s="220" t="n">
        <v>212.5</v>
      </c>
      <c r="D244" s="220" t="n">
        <v>365</v>
      </c>
      <c r="E244" s="220" t="n">
        <v>223</v>
      </c>
      <c r="F244" s="220">
        <f>ROUND((D244-E244)/D244*C244,2)</f>
        <v/>
      </c>
      <c r="G244" s="220">
        <f>ROUND(C244*0,2)</f>
        <v/>
      </c>
      <c r="H244" s="220" t="n">
        <v>0</v>
      </c>
    </row>
    <row r="245" ht="28" customHeight="1" s="132">
      <c r="A245" s="220" t="inlineStr">
        <is>
          <t>A234</t>
        </is>
      </c>
      <c r="B245" s="220" t="inlineStr">
        <is>
          <t>LCC-2504186</t>
        </is>
      </c>
      <c r="C245" s="220" t="n">
        <v>178.5</v>
      </c>
      <c r="D245" s="220" t="n">
        <v>365</v>
      </c>
      <c r="E245" s="220" t="n">
        <v>224</v>
      </c>
      <c r="F245" s="220">
        <f>ROUND((D245-E245)/D245*C245,2)</f>
        <v/>
      </c>
      <c r="G245" s="220">
        <f>ROUND(C245*0,2)</f>
        <v/>
      </c>
      <c r="H245" s="220" t="n">
        <v>0</v>
      </c>
    </row>
    <row r="246" ht="28" customHeight="1" s="132">
      <c r="A246" s="220" t="inlineStr">
        <is>
          <t>A235</t>
        </is>
      </c>
      <c r="B246" s="220" t="inlineStr">
        <is>
          <t>LCP-2504190</t>
        </is>
      </c>
      <c r="C246" s="220" t="n">
        <v>212.5</v>
      </c>
      <c r="D246" s="220" t="n">
        <v>365</v>
      </c>
      <c r="E246" s="220" t="n">
        <v>223</v>
      </c>
      <c r="F246" s="220">
        <f>ROUND((D246-E246)/D246*C246,2)</f>
        <v/>
      </c>
      <c r="G246" s="220">
        <f>ROUND(C246*0,2)</f>
        <v/>
      </c>
      <c r="H246" s="220" t="n">
        <v>0</v>
      </c>
    </row>
    <row r="247" ht="28" customHeight="1" s="132">
      <c r="A247" s="220" t="inlineStr">
        <is>
          <t>A236</t>
        </is>
      </c>
      <c r="B247" s="220" t="inlineStr">
        <is>
          <t>LCC-2504192</t>
        </is>
      </c>
      <c r="C247" s="220" t="n">
        <v>178.5</v>
      </c>
      <c r="D247" s="220" t="n">
        <v>365</v>
      </c>
      <c r="E247" s="220" t="n">
        <v>222</v>
      </c>
      <c r="F247" s="220">
        <f>ROUND((D247-E247)/D247*C247,2)</f>
        <v/>
      </c>
      <c r="G247" s="220">
        <f>ROUND(C247*0,2)</f>
        <v/>
      </c>
      <c r="H247" s="220" t="n">
        <v>0</v>
      </c>
    </row>
    <row r="248" ht="28" customHeight="1" s="132">
      <c r="A248" s="220" t="inlineStr">
        <is>
          <t>A237</t>
        </is>
      </c>
      <c r="B248" s="220" t="inlineStr">
        <is>
          <t>LCC-2504200</t>
        </is>
      </c>
      <c r="C248" s="220" t="n">
        <v>178.5</v>
      </c>
      <c r="D248" s="220" t="n">
        <v>365</v>
      </c>
      <c r="E248" s="220" t="n">
        <v>218</v>
      </c>
      <c r="F248" s="220">
        <f>ROUND((D248-E248)/D248*C248,2)</f>
        <v/>
      </c>
      <c r="G248" s="220">
        <f>ROUND(C248*0,2)</f>
        <v/>
      </c>
      <c r="H248" s="220" t="n">
        <v>0</v>
      </c>
    </row>
    <row r="249" ht="28" customHeight="1" s="132">
      <c r="A249" s="220" t="inlineStr">
        <is>
          <t>A238</t>
        </is>
      </c>
      <c r="B249" s="220" t="inlineStr">
        <is>
          <t>LCC-2504199</t>
        </is>
      </c>
      <c r="C249" s="220" t="n">
        <v>178.5</v>
      </c>
      <c r="D249" s="220" t="n">
        <v>365</v>
      </c>
      <c r="E249" s="220" t="n">
        <v>218</v>
      </c>
      <c r="F249" s="220">
        <f>ROUND((D249-E249)/D249*C249,2)</f>
        <v/>
      </c>
      <c r="G249" s="220">
        <f>ROUND(C249*0,2)</f>
        <v/>
      </c>
      <c r="H249" s="220" t="n">
        <v>0</v>
      </c>
    </row>
    <row r="250" ht="28" customHeight="1" s="132">
      <c r="A250" s="220" t="inlineStr">
        <is>
          <t>A239</t>
        </is>
      </c>
      <c r="B250" s="220" t="inlineStr">
        <is>
          <t>LCC-2504198</t>
        </is>
      </c>
      <c r="C250" s="220" t="n">
        <v>1360</v>
      </c>
      <c r="D250" s="220" t="n">
        <v>365</v>
      </c>
      <c r="E250" s="220" t="n">
        <v>215</v>
      </c>
      <c r="F250" s="220">
        <f>ROUND((D250-E250)/D250*C250,2)</f>
        <v/>
      </c>
      <c r="G250" s="220">
        <f>ROUND(C250*0,2)</f>
        <v/>
      </c>
      <c r="H250" s="220" t="n">
        <v>0</v>
      </c>
    </row>
    <row r="251" ht="28" customHeight="1" s="132">
      <c r="A251" s="220" t="inlineStr">
        <is>
          <t>A240</t>
        </is>
      </c>
      <c r="B251" s="220" t="inlineStr">
        <is>
          <t>LCC-2504197</t>
        </is>
      </c>
      <c r="C251" s="220" t="n">
        <v>867</v>
      </c>
      <c r="D251" s="220" t="n">
        <v>365</v>
      </c>
      <c r="E251" s="220" t="n">
        <v>214</v>
      </c>
      <c r="F251" s="220">
        <f>ROUND((D251-E251)/D251*C251,2)</f>
        <v/>
      </c>
      <c r="G251" s="220">
        <f>ROUND(C251*0,2)</f>
        <v/>
      </c>
      <c r="H251" s="220" t="n">
        <v>0</v>
      </c>
    </row>
    <row r="252" ht="28" customHeight="1" s="132">
      <c r="A252" s="220" t="inlineStr">
        <is>
          <t>A241</t>
        </is>
      </c>
      <c r="B252" s="220" t="inlineStr">
        <is>
          <t>LCC-2504202</t>
        </is>
      </c>
      <c r="C252" s="220" t="n">
        <v>2528.75</v>
      </c>
      <c r="D252" s="220" t="n">
        <v>365</v>
      </c>
      <c r="E252" s="220" t="n">
        <v>193</v>
      </c>
      <c r="F252" s="220">
        <f>ROUND((D252-E252)/D252*C252,2)</f>
        <v/>
      </c>
      <c r="G252" s="220">
        <f>ROUND(C252*0,2)</f>
        <v/>
      </c>
      <c r="H252" s="220" t="n">
        <v>0</v>
      </c>
    </row>
    <row r="253" ht="28" customHeight="1" s="132">
      <c r="A253" s="220" t="inlineStr">
        <is>
          <t>A242</t>
        </is>
      </c>
      <c r="B253" s="220" t="inlineStr">
        <is>
          <t>LCP-2504201</t>
        </is>
      </c>
      <c r="C253" s="220" t="n">
        <v>212.5</v>
      </c>
      <c r="D253" s="220" t="n">
        <v>365</v>
      </c>
      <c r="E253" s="220" t="n">
        <v>216</v>
      </c>
      <c r="F253" s="220">
        <f>ROUND((D253-E253)/D253*C253,2)</f>
        <v/>
      </c>
      <c r="G253" s="220">
        <f>ROUND(C253*0,2)</f>
        <v/>
      </c>
      <c r="H253" s="220" t="n">
        <v>0</v>
      </c>
    </row>
    <row r="254" ht="28" customHeight="1" s="132">
      <c r="A254" s="220" t="inlineStr">
        <is>
          <t>A243</t>
        </is>
      </c>
      <c r="B254" s="220" t="inlineStr">
        <is>
          <t>LCC-2504204</t>
        </is>
      </c>
      <c r="C254" s="220" t="n">
        <v>8670</v>
      </c>
      <c r="D254" s="220" t="n">
        <v>365</v>
      </c>
      <c r="E254" s="220" t="n">
        <v>211</v>
      </c>
      <c r="F254" s="220">
        <f>ROUND((D254-E254)/D254*C254,2)</f>
        <v/>
      </c>
      <c r="G254" s="220">
        <f>ROUND(C254*0,2)</f>
        <v/>
      </c>
      <c r="H254" s="220" t="n">
        <v>0</v>
      </c>
    </row>
    <row r="255" ht="28" customHeight="1" s="132">
      <c r="A255" s="220" t="inlineStr">
        <is>
          <t>A244</t>
        </is>
      </c>
      <c r="B255" s="220" t="inlineStr">
        <is>
          <t>LCC-2504203</t>
        </is>
      </c>
      <c r="C255" s="220" t="n">
        <v>178.5</v>
      </c>
      <c r="D255" s="220" t="n">
        <v>365</v>
      </c>
      <c r="E255" s="220" t="n">
        <v>215</v>
      </c>
      <c r="F255" s="220">
        <f>ROUND((D255-E255)/D255*C255,2)</f>
        <v/>
      </c>
      <c r="G255" s="220">
        <f>ROUND(C255*0,2)</f>
        <v/>
      </c>
      <c r="H255" s="220" t="n">
        <v>0</v>
      </c>
    </row>
    <row r="256" ht="28" customHeight="1" s="132">
      <c r="A256" s="220" t="inlineStr">
        <is>
          <t>A245</t>
        </is>
      </c>
      <c r="B256" s="220" t="inlineStr">
        <is>
          <t>LCC-2504211</t>
        </is>
      </c>
      <c r="C256" s="220" t="n">
        <v>31790</v>
      </c>
      <c r="D256" s="220" t="n">
        <v>592</v>
      </c>
      <c r="E256" s="220" t="n">
        <v>232</v>
      </c>
      <c r="F256" s="220">
        <f>ROUND((D256-E256)/D256*C256,2)</f>
        <v/>
      </c>
      <c r="G256" s="220">
        <f>ROUND(C256*0,2)</f>
        <v/>
      </c>
      <c r="H256" s="220" t="n">
        <v>0</v>
      </c>
    </row>
    <row r="257" ht="28" customHeight="1" s="132">
      <c r="A257" s="220" t="inlineStr">
        <is>
          <t>A246</t>
        </is>
      </c>
      <c r="B257" s="220" t="inlineStr">
        <is>
          <t>LCC-2504213</t>
        </is>
      </c>
      <c r="C257" s="220" t="n">
        <v>24565</v>
      </c>
      <c r="D257" s="220" t="n">
        <v>592</v>
      </c>
      <c r="E257" s="220" t="n">
        <v>232</v>
      </c>
      <c r="F257" s="220">
        <f>ROUND((D257-E257)/D257*C257,2)</f>
        <v/>
      </c>
      <c r="G257" s="220">
        <f>ROUND(C257*0,2)</f>
        <v/>
      </c>
      <c r="H257" s="220" t="n">
        <v>0</v>
      </c>
    </row>
    <row r="258" ht="28" customHeight="1" s="132">
      <c r="A258" s="220" t="inlineStr">
        <is>
          <t>A247</t>
        </is>
      </c>
      <c r="B258" s="220" t="inlineStr">
        <is>
          <t>LCC-2504207</t>
        </is>
      </c>
      <c r="C258" s="220" t="n">
        <v>178.5</v>
      </c>
      <c r="D258" s="220" t="n">
        <v>365</v>
      </c>
      <c r="E258" s="220" t="n">
        <v>213</v>
      </c>
      <c r="F258" s="220">
        <f>ROUND((D258-E258)/D258*C258,2)</f>
        <v/>
      </c>
      <c r="G258" s="220">
        <f>ROUND(C258*0,2)</f>
        <v/>
      </c>
      <c r="H258" s="220" t="n">
        <v>0</v>
      </c>
    </row>
    <row r="259" ht="28" customHeight="1" s="132">
      <c r="A259" s="220" t="inlineStr">
        <is>
          <t>A248</t>
        </is>
      </c>
      <c r="B259" s="220" t="inlineStr">
        <is>
          <t>LCC-2504214</t>
        </is>
      </c>
      <c r="C259" s="220" t="n">
        <v>34680</v>
      </c>
      <c r="D259" s="220" t="n">
        <v>592</v>
      </c>
      <c r="E259" s="220" t="n">
        <v>232</v>
      </c>
      <c r="F259" s="220">
        <f>ROUND((D259-E259)/D259*C259,2)</f>
        <v/>
      </c>
      <c r="G259" s="220">
        <f>ROUND(C259*0,2)</f>
        <v/>
      </c>
      <c r="H259" s="220" t="n">
        <v>0</v>
      </c>
    </row>
    <row r="260" ht="28" customHeight="1" s="132">
      <c r="A260" s="220" t="inlineStr">
        <is>
          <t>A249</t>
        </is>
      </c>
      <c r="B260" s="220" t="inlineStr">
        <is>
          <t>LCC-2504215</t>
        </is>
      </c>
      <c r="C260" s="220" t="n">
        <v>178.5</v>
      </c>
      <c r="D260" s="220" t="n">
        <v>365</v>
      </c>
      <c r="E260" s="220" t="n">
        <v>211</v>
      </c>
      <c r="F260" s="220">
        <f>ROUND((D260-E260)/D260*C260,2)</f>
        <v/>
      </c>
      <c r="G260" s="220">
        <f>ROUND(C260*0,2)</f>
        <v/>
      </c>
      <c r="H260" s="220" t="n">
        <v>0</v>
      </c>
    </row>
    <row r="261" ht="28" customHeight="1" s="132">
      <c r="A261" s="220" t="inlineStr">
        <is>
          <t>A250</t>
        </is>
      </c>
      <c r="B261" s="220" t="inlineStr">
        <is>
          <t>LCC-2504217</t>
        </is>
      </c>
      <c r="C261" s="220" t="n">
        <v>637.5</v>
      </c>
      <c r="D261" s="220" t="n">
        <v>365</v>
      </c>
      <c r="E261" s="220" t="n">
        <v>215</v>
      </c>
      <c r="F261" s="220">
        <f>ROUND((D261-E261)/D261*C261,2)</f>
        <v/>
      </c>
      <c r="G261" s="220">
        <f>ROUND(C261*0,2)</f>
        <v/>
      </c>
      <c r="H261" s="220" t="n">
        <v>0</v>
      </c>
    </row>
    <row r="262" ht="28" customHeight="1" s="132">
      <c r="A262" s="220" t="inlineStr">
        <is>
          <t>A251</t>
        </is>
      </c>
      <c r="B262" s="220" t="inlineStr">
        <is>
          <t>LCP-2504218</t>
        </is>
      </c>
      <c r="C262" s="220" t="n">
        <v>212.5</v>
      </c>
      <c r="D262" s="220" t="n">
        <v>365</v>
      </c>
      <c r="E262" s="220" t="n">
        <v>210</v>
      </c>
      <c r="F262" s="220">
        <f>ROUND((D262-E262)/D262*C262,2)</f>
        <v/>
      </c>
      <c r="G262" s="220">
        <f>ROUND(C262*0,2)</f>
        <v/>
      </c>
      <c r="H262" s="220" t="n">
        <v>0</v>
      </c>
    </row>
    <row r="263" ht="28" customHeight="1" s="132">
      <c r="A263" s="220" t="inlineStr">
        <is>
          <t>A252</t>
        </is>
      </c>
      <c r="B263" s="220" t="inlineStr">
        <is>
          <t>LCC-2504220</t>
        </is>
      </c>
      <c r="C263" s="220" t="n">
        <v>340</v>
      </c>
      <c r="D263" s="220" t="n">
        <v>365</v>
      </c>
      <c r="E263" s="220" t="n">
        <v>209</v>
      </c>
      <c r="F263" s="220">
        <f>ROUND((D263-E263)/D263*C263,2)</f>
        <v/>
      </c>
      <c r="G263" s="220">
        <f>ROUND(C263*0,2)</f>
        <v/>
      </c>
      <c r="H263" s="220" t="n">
        <v>0</v>
      </c>
    </row>
    <row r="264" ht="28" customHeight="1" s="132">
      <c r="A264" s="220" t="inlineStr">
        <is>
          <t>A253</t>
        </is>
      </c>
      <c r="B264" s="220" t="inlineStr">
        <is>
          <t>LCC-2504219</t>
        </is>
      </c>
      <c r="C264" s="220" t="n">
        <v>178.5</v>
      </c>
      <c r="D264" s="220" t="n">
        <v>365</v>
      </c>
      <c r="E264" s="220" t="n">
        <v>211</v>
      </c>
      <c r="F264" s="220">
        <f>ROUND((D264-E264)/D264*C264,2)</f>
        <v/>
      </c>
      <c r="G264" s="220">
        <f>ROUND(C264*0,2)</f>
        <v/>
      </c>
      <c r="H264" s="220" t="n">
        <v>0</v>
      </c>
    </row>
    <row r="265" ht="28" customHeight="1" s="132">
      <c r="A265" s="220" t="inlineStr">
        <is>
          <t>A254</t>
        </is>
      </c>
      <c r="B265" s="220" t="inlineStr">
        <is>
          <t>LCC-2504221</t>
        </is>
      </c>
      <c r="C265" s="220" t="n">
        <v>595</v>
      </c>
      <c r="D265" s="220" t="n">
        <v>365</v>
      </c>
      <c r="E265" s="220" t="n">
        <v>209</v>
      </c>
      <c r="F265" s="220">
        <f>ROUND((D265-E265)/D265*C265,2)</f>
        <v/>
      </c>
      <c r="G265" s="220">
        <f>ROUND(C265*0,2)</f>
        <v/>
      </c>
      <c r="H265" s="220" t="n">
        <v>0</v>
      </c>
    </row>
    <row r="266" ht="28" customHeight="1" s="132">
      <c r="A266" s="220" t="inlineStr">
        <is>
          <t>A255</t>
        </is>
      </c>
      <c r="B266" s="220" t="inlineStr">
        <is>
          <t>LCC-2504223</t>
        </is>
      </c>
      <c r="C266" s="220" t="n">
        <v>3612.5</v>
      </c>
      <c r="D266" s="220" t="n">
        <v>365</v>
      </c>
      <c r="E266" s="220" t="n">
        <v>216</v>
      </c>
      <c r="F266" s="220">
        <f>ROUND((D266-E266)/D266*C266,2)</f>
        <v/>
      </c>
      <c r="G266" s="220">
        <f>ROUND(C266*0,2)</f>
        <v/>
      </c>
      <c r="H266" s="220" t="n">
        <v>0</v>
      </c>
    </row>
    <row r="267" ht="28" customHeight="1" s="132">
      <c r="A267" s="220" t="inlineStr">
        <is>
          <t>A256</t>
        </is>
      </c>
      <c r="B267" s="220" t="inlineStr">
        <is>
          <t>LCC-2504224</t>
        </is>
      </c>
      <c r="C267" s="220" t="n">
        <v>6199.05</v>
      </c>
      <c r="D267" s="220" t="n">
        <v>365</v>
      </c>
      <c r="E267" s="220" t="n">
        <v>205</v>
      </c>
      <c r="F267" s="220">
        <f>ROUND((D267-E267)/D267*C267,2)</f>
        <v/>
      </c>
      <c r="G267" s="220">
        <f>ROUND(C267*0,2)</f>
        <v/>
      </c>
      <c r="H267" s="220" t="n">
        <v>0</v>
      </c>
    </row>
    <row r="268" ht="28" customHeight="1" s="132">
      <c r="A268" s="220" t="inlineStr">
        <is>
          <t>A257</t>
        </is>
      </c>
      <c r="B268" s="220" t="inlineStr">
        <is>
          <t>LCP-2504227</t>
        </is>
      </c>
      <c r="C268" s="220" t="n">
        <v>212.5</v>
      </c>
      <c r="D268" s="220" t="n">
        <v>365</v>
      </c>
      <c r="E268" s="220" t="n">
        <v>203</v>
      </c>
      <c r="F268" s="220">
        <f>ROUND((D268-E268)/D268*C268,2)</f>
        <v/>
      </c>
      <c r="G268" s="220">
        <f>ROUND(C268*0,2)</f>
        <v/>
      </c>
      <c r="H268" s="220" t="n">
        <v>0</v>
      </c>
    </row>
    <row r="269" ht="28" customHeight="1" s="132">
      <c r="A269" s="220" t="inlineStr">
        <is>
          <t>A258</t>
        </is>
      </c>
      <c r="B269" s="220" t="inlineStr">
        <is>
          <t>LCC-2504230</t>
        </is>
      </c>
      <c r="C269" s="220" t="n">
        <v>199.75</v>
      </c>
      <c r="D269" s="220" t="n">
        <v>365</v>
      </c>
      <c r="E269" s="220" t="n">
        <v>197</v>
      </c>
      <c r="F269" s="220">
        <f>ROUND((D269-E269)/D269*C269,2)</f>
        <v/>
      </c>
      <c r="G269" s="220">
        <f>ROUND(C269*0,2)</f>
        <v/>
      </c>
      <c r="H269" s="220" t="n">
        <v>0</v>
      </c>
    </row>
    <row r="270" ht="28" customHeight="1" s="132">
      <c r="A270" s="220" t="inlineStr">
        <is>
          <t>A259</t>
        </is>
      </c>
      <c r="B270" s="220" t="inlineStr">
        <is>
          <t>LCC-2504229</t>
        </is>
      </c>
      <c r="C270" s="220" t="n">
        <v>178.5</v>
      </c>
      <c r="D270" s="220" t="n">
        <v>365</v>
      </c>
      <c r="E270" s="220" t="n">
        <v>197</v>
      </c>
      <c r="F270" s="220">
        <f>ROUND((D270-E270)/D270*C270,2)</f>
        <v/>
      </c>
      <c r="G270" s="220">
        <f>ROUND(C270*0,2)</f>
        <v/>
      </c>
      <c r="H270" s="220" t="n">
        <v>0</v>
      </c>
    </row>
    <row r="271" ht="28" customHeight="1" s="132">
      <c r="A271" s="220" t="inlineStr">
        <is>
          <t>A260</t>
        </is>
      </c>
      <c r="B271" s="220" t="inlineStr">
        <is>
          <t>LCC-2504228</t>
        </is>
      </c>
      <c r="C271" s="220" t="n">
        <v>178.5</v>
      </c>
      <c r="D271" s="220" t="n">
        <v>365</v>
      </c>
      <c r="E271" s="220" t="n">
        <v>197</v>
      </c>
      <c r="F271" s="220">
        <f>ROUND((D271-E271)/D271*C271,2)</f>
        <v/>
      </c>
      <c r="G271" s="220">
        <f>ROUND(C271*0,2)</f>
        <v/>
      </c>
      <c r="H271" s="220" t="n">
        <v>0</v>
      </c>
    </row>
    <row r="272" ht="28" customHeight="1" s="132">
      <c r="A272" s="220" t="inlineStr">
        <is>
          <t>A261</t>
        </is>
      </c>
      <c r="B272" s="220" t="inlineStr">
        <is>
          <t>LCC-2504231</t>
        </is>
      </c>
      <c r="C272" s="220" t="n">
        <v>340</v>
      </c>
      <c r="D272" s="220" t="n">
        <v>365</v>
      </c>
      <c r="E272" s="220" t="n">
        <v>196</v>
      </c>
      <c r="F272" s="220">
        <f>ROUND((D272-E272)/D272*C272,2)</f>
        <v/>
      </c>
      <c r="G272" s="220">
        <f>ROUND(C272*0,2)</f>
        <v/>
      </c>
      <c r="H272" s="220" t="n">
        <v>0</v>
      </c>
    </row>
    <row r="273" ht="28" customHeight="1" s="132">
      <c r="A273" s="220" t="inlineStr">
        <is>
          <t>A262</t>
        </is>
      </c>
      <c r="B273" s="220" t="inlineStr">
        <is>
          <t>LCC-2504233</t>
        </is>
      </c>
      <c r="C273" s="220" t="n">
        <v>11993.5</v>
      </c>
      <c r="D273" s="220" t="n">
        <v>365</v>
      </c>
      <c r="E273" s="220" t="n">
        <v>202</v>
      </c>
      <c r="F273" s="220">
        <f>ROUND((D273-E273)/D273*C273,2)</f>
        <v/>
      </c>
      <c r="G273" s="220">
        <f>ROUND(C273*0,2)</f>
        <v/>
      </c>
      <c r="H273" s="220" t="n">
        <v>0</v>
      </c>
    </row>
    <row r="274" ht="28" customHeight="1" s="132">
      <c r="A274" s="220" t="inlineStr">
        <is>
          <t>A263</t>
        </is>
      </c>
      <c r="B274" s="220" t="inlineStr">
        <is>
          <t>LCC-2504237</t>
        </is>
      </c>
      <c r="C274" s="220" t="n">
        <v>425</v>
      </c>
      <c r="D274" s="220" t="n">
        <v>365</v>
      </c>
      <c r="E274" s="220" t="n">
        <v>194</v>
      </c>
      <c r="F274" s="220">
        <f>ROUND((D274-E274)/D274*C274,2)</f>
        <v/>
      </c>
      <c r="G274" s="220">
        <f>ROUND(C274*0,2)</f>
        <v/>
      </c>
      <c r="H274" s="220" t="n">
        <v>0</v>
      </c>
    </row>
    <row r="275" ht="28" customHeight="1" s="132">
      <c r="A275" s="220" t="inlineStr">
        <is>
          <t>A264</t>
        </is>
      </c>
      <c r="B275" s="220" t="inlineStr">
        <is>
          <t>LCC-2504234</t>
        </is>
      </c>
      <c r="C275" s="220" t="n">
        <v>54910</v>
      </c>
      <c r="D275" s="220" t="n">
        <v>730</v>
      </c>
      <c r="E275" s="220" t="n">
        <v>218</v>
      </c>
      <c r="F275" s="220">
        <f>ROUND((D275-E275)/D275*C275,2)</f>
        <v/>
      </c>
      <c r="G275" s="220">
        <f>ROUND(C275*0,2)</f>
        <v/>
      </c>
      <c r="H275" s="220" t="n">
        <v>0</v>
      </c>
    </row>
    <row r="276" ht="28" customHeight="1" s="132">
      <c r="A276" s="220" t="inlineStr">
        <is>
          <t>A265</t>
        </is>
      </c>
      <c r="B276" s="220" t="inlineStr">
        <is>
          <t>LCC-2504238</t>
        </is>
      </c>
      <c r="C276" s="220" t="n">
        <v>50575</v>
      </c>
      <c r="D276" s="220" t="n">
        <v>730</v>
      </c>
      <c r="E276" s="220" t="n">
        <v>218</v>
      </c>
      <c r="F276" s="220">
        <f>ROUND((D276-E276)/D276*C276,2)</f>
        <v/>
      </c>
      <c r="G276" s="220">
        <f>ROUND(C276*0,2)</f>
        <v/>
      </c>
      <c r="H276" s="220" t="n">
        <v>0</v>
      </c>
    </row>
    <row r="277" ht="28" customHeight="1" s="132">
      <c r="A277" s="220" t="inlineStr">
        <is>
          <t>A266</t>
        </is>
      </c>
      <c r="B277" s="220" t="inlineStr">
        <is>
          <t>LCC-2504236</t>
        </is>
      </c>
      <c r="C277" s="220" t="n">
        <v>8219.5</v>
      </c>
      <c r="D277" s="220" t="n">
        <v>365</v>
      </c>
      <c r="E277" s="220" t="n">
        <v>194</v>
      </c>
      <c r="F277" s="220">
        <f>ROUND((D277-E277)/D277*C277,2)</f>
        <v/>
      </c>
      <c r="G277" s="220">
        <f>ROUND(C277*0,2)</f>
        <v/>
      </c>
      <c r="H277" s="220" t="n">
        <v>0</v>
      </c>
    </row>
    <row r="278" ht="28" customHeight="1" s="132">
      <c r="A278" s="220" t="inlineStr">
        <is>
          <t>A267</t>
        </is>
      </c>
      <c r="B278" s="220" t="inlineStr">
        <is>
          <t>LCC-2504239</t>
        </is>
      </c>
      <c r="C278" s="220" t="n">
        <v>425</v>
      </c>
      <c r="D278" s="220" t="n">
        <v>365</v>
      </c>
      <c r="E278" s="220" t="n">
        <v>190</v>
      </c>
      <c r="F278" s="220">
        <f>ROUND((D278-E278)/D278*C278,2)</f>
        <v/>
      </c>
      <c r="G278" s="220">
        <f>ROUND(C278*0,2)</f>
        <v/>
      </c>
      <c r="H278" s="220" t="n">
        <v>0</v>
      </c>
    </row>
    <row r="279" ht="28" customHeight="1" s="132">
      <c r="A279" s="220" t="inlineStr">
        <is>
          <t>A268</t>
        </is>
      </c>
      <c r="B279" s="220" t="inlineStr">
        <is>
          <t>LCC-2504240</t>
        </is>
      </c>
      <c r="C279" s="220" t="n">
        <v>3612.5</v>
      </c>
      <c r="D279" s="220" t="n">
        <v>366</v>
      </c>
      <c r="E279" s="220" t="n">
        <v>184</v>
      </c>
      <c r="F279" s="220">
        <f>ROUND((D279-E279)/D279*C279,2)</f>
        <v/>
      </c>
      <c r="G279" s="220">
        <f>ROUND(C279*0,2)</f>
        <v/>
      </c>
      <c r="H279" s="220" t="n">
        <v>0</v>
      </c>
    </row>
    <row r="280" ht="28" customHeight="1" s="132">
      <c r="A280" s="220" t="inlineStr">
        <is>
          <t>A269</t>
        </is>
      </c>
      <c r="B280" s="220" t="inlineStr">
        <is>
          <t>LCC-2504241</t>
        </is>
      </c>
      <c r="C280" s="220" t="n">
        <v>595</v>
      </c>
      <c r="D280" s="220" t="n">
        <v>2</v>
      </c>
      <c r="E280" s="220" t="n">
        <v>181</v>
      </c>
      <c r="F280" s="220">
        <f>ROUND((D280-E280)/D280*C280,2)</f>
        <v/>
      </c>
      <c r="G280" s="220">
        <f>ROUND(C280*0,2)</f>
        <v/>
      </c>
      <c r="H280" s="220" t="n">
        <v>0</v>
      </c>
    </row>
    <row r="281" ht="28" customHeight="1" s="132">
      <c r="A281" s="220" t="inlineStr">
        <is>
          <t>A270</t>
        </is>
      </c>
      <c r="B281" s="220" t="inlineStr">
        <is>
          <t>LCC-2504243</t>
        </is>
      </c>
      <c r="C281" s="220" t="n">
        <v>178.5</v>
      </c>
      <c r="D281" s="220" t="n">
        <v>365</v>
      </c>
      <c r="E281" s="220" t="n">
        <v>184</v>
      </c>
      <c r="F281" s="220">
        <f>ROUND((D281-E281)/D281*C281,2)</f>
        <v/>
      </c>
      <c r="G281" s="220">
        <f>ROUND(C281*0,2)</f>
        <v/>
      </c>
      <c r="H281" s="220" t="n">
        <v>0</v>
      </c>
    </row>
    <row r="282" ht="28" customHeight="1" s="132">
      <c r="A282" s="220" t="inlineStr">
        <is>
          <t>A271</t>
        </is>
      </c>
      <c r="B282" s="220" t="inlineStr">
        <is>
          <t>LCC-2504246</t>
        </is>
      </c>
      <c r="C282" s="220" t="n">
        <v>178.5</v>
      </c>
      <c r="D282" s="220" t="n">
        <v>365</v>
      </c>
      <c r="E282" s="220" t="n">
        <v>181</v>
      </c>
      <c r="F282" s="220">
        <f>ROUND((D282-E282)/D282*C282,2)</f>
        <v/>
      </c>
      <c r="G282" s="220">
        <f>ROUND(C282*0,2)</f>
        <v/>
      </c>
      <c r="H282" s="220" t="n">
        <v>0</v>
      </c>
    </row>
    <row r="283" ht="28" customHeight="1" s="132">
      <c r="A283" s="220" t="inlineStr">
        <is>
          <t>A272</t>
        </is>
      </c>
      <c r="B283" s="220" t="inlineStr">
        <is>
          <t>LCC-2504245</t>
        </is>
      </c>
      <c r="C283" s="220" t="n">
        <v>178.5</v>
      </c>
      <c r="D283" s="220" t="n">
        <v>365</v>
      </c>
      <c r="E283" s="220" t="n">
        <v>181</v>
      </c>
      <c r="F283" s="220">
        <f>ROUND((D283-E283)/D283*C283,2)</f>
        <v/>
      </c>
      <c r="G283" s="220">
        <f>ROUND(C283*0,2)</f>
        <v/>
      </c>
      <c r="H283" s="220" t="n">
        <v>0</v>
      </c>
    </row>
    <row r="284" ht="28" customHeight="1" s="132">
      <c r="A284" s="220" t="inlineStr">
        <is>
          <t>A273</t>
        </is>
      </c>
      <c r="B284" s="220" t="inlineStr">
        <is>
          <t>LCC-2504247</t>
        </is>
      </c>
      <c r="C284" s="220" t="n">
        <v>178.5</v>
      </c>
      <c r="D284" s="220" t="n">
        <v>365</v>
      </c>
      <c r="E284" s="220" t="n">
        <v>180</v>
      </c>
      <c r="F284" s="220">
        <f>ROUND((D284-E284)/D284*C284,2)</f>
        <v/>
      </c>
      <c r="G284" s="220">
        <f>ROUND(C284*0,2)</f>
        <v/>
      </c>
      <c r="H284" s="220" t="n">
        <v>0</v>
      </c>
    </row>
    <row r="285" ht="28" customHeight="1" s="132">
      <c r="A285" s="220" t="inlineStr">
        <is>
          <t>A274</t>
        </is>
      </c>
      <c r="B285" s="220" t="inlineStr">
        <is>
          <t>LCC-2504249</t>
        </is>
      </c>
      <c r="C285" s="220" t="n">
        <v>178.5</v>
      </c>
      <c r="D285" s="220" t="n">
        <v>365</v>
      </c>
      <c r="E285" s="220" t="n">
        <v>177</v>
      </c>
      <c r="F285" s="220">
        <f>ROUND((D285-E285)/D285*C285,2)</f>
        <v/>
      </c>
      <c r="G285" s="220">
        <f>ROUND(C285*0,2)</f>
        <v/>
      </c>
      <c r="H285" s="220" t="n">
        <v>0</v>
      </c>
    </row>
    <row r="286" ht="28" customHeight="1" s="132">
      <c r="A286" s="220" t="inlineStr">
        <is>
          <t>A275</t>
        </is>
      </c>
      <c r="B286" s="220" t="inlineStr">
        <is>
          <t>LCC-2504248</t>
        </is>
      </c>
      <c r="C286" s="220" t="n">
        <v>33363.2</v>
      </c>
      <c r="D286" s="220" t="n">
        <v>365</v>
      </c>
      <c r="E286" s="220" t="n">
        <v>153</v>
      </c>
      <c r="F286" s="220">
        <f>ROUND((D286-E286)/D286*C286,2)</f>
        <v/>
      </c>
      <c r="G286" s="220">
        <f>ROUND(C286*0,2)</f>
        <v/>
      </c>
      <c r="H286" s="220" t="n">
        <v>0</v>
      </c>
    </row>
    <row r="287" ht="28" customHeight="1" s="132">
      <c r="A287" s="220" t="inlineStr">
        <is>
          <t>A276</t>
        </is>
      </c>
      <c r="B287" s="220" t="inlineStr">
        <is>
          <t>LCC-2504251</t>
        </is>
      </c>
      <c r="C287" s="220" t="n">
        <v>178.5</v>
      </c>
      <c r="D287" s="220" t="n">
        <v>365</v>
      </c>
      <c r="E287" s="220" t="n">
        <v>176</v>
      </c>
      <c r="F287" s="220">
        <f>ROUND((D287-E287)/D287*C287,2)</f>
        <v/>
      </c>
      <c r="G287" s="220">
        <f>ROUND(C287*0,2)</f>
        <v/>
      </c>
      <c r="H287" s="220" t="n">
        <v>0</v>
      </c>
    </row>
    <row r="288" ht="28" customHeight="1" s="132">
      <c r="A288" s="220" t="inlineStr">
        <is>
          <t>A277</t>
        </is>
      </c>
      <c r="B288" s="220" t="inlineStr">
        <is>
          <t>LCC-2504254</t>
        </is>
      </c>
      <c r="C288" s="220" t="n">
        <v>178.5</v>
      </c>
      <c r="D288" s="220" t="n">
        <v>365</v>
      </c>
      <c r="E288" s="220" t="n">
        <v>176</v>
      </c>
      <c r="F288" s="220">
        <f>ROUND((D288-E288)/D288*C288,2)</f>
        <v/>
      </c>
      <c r="G288" s="220">
        <f>ROUND(C288*0,2)</f>
        <v/>
      </c>
      <c r="H288" s="220" t="n">
        <v>0</v>
      </c>
    </row>
    <row r="289" ht="28" customHeight="1" s="132">
      <c r="A289" s="220" t="inlineStr">
        <is>
          <t>A278</t>
        </is>
      </c>
      <c r="B289" s="220" t="inlineStr">
        <is>
          <t>LCC-2504253</t>
        </is>
      </c>
      <c r="C289" s="220" t="n">
        <v>178.5</v>
      </c>
      <c r="D289" s="220" t="n">
        <v>365</v>
      </c>
      <c r="E289" s="220" t="n">
        <v>176</v>
      </c>
      <c r="F289" s="220">
        <f>ROUND((D289-E289)/D289*C289,2)</f>
        <v/>
      </c>
      <c r="G289" s="220">
        <f>ROUND(C289*0,2)</f>
        <v/>
      </c>
      <c r="H289" s="220" t="n">
        <v>0</v>
      </c>
    </row>
    <row r="290" ht="28" customHeight="1" s="132">
      <c r="A290" s="220" t="inlineStr">
        <is>
          <t>A279</t>
        </is>
      </c>
      <c r="B290" s="220" t="inlineStr">
        <is>
          <t>LCC-2504250</t>
        </is>
      </c>
      <c r="C290" s="220" t="n">
        <v>4250</v>
      </c>
      <c r="D290" s="220" t="n">
        <v>365</v>
      </c>
      <c r="E290" s="220" t="n">
        <v>184</v>
      </c>
      <c r="F290" s="220">
        <f>ROUND((D290-E290)/D290*C290,2)</f>
        <v/>
      </c>
      <c r="G290" s="220">
        <f>ROUND(C290*0,2)</f>
        <v/>
      </c>
      <c r="H290" s="220" t="n">
        <v>0</v>
      </c>
    </row>
    <row r="291" ht="28" customHeight="1" s="132">
      <c r="A291" s="220" t="inlineStr">
        <is>
          <t>A280</t>
        </is>
      </c>
      <c r="B291" s="220" t="inlineStr">
        <is>
          <t>LCP-2504252</t>
        </is>
      </c>
      <c r="C291" s="220" t="n">
        <v>212.5</v>
      </c>
      <c r="D291" s="220" t="n">
        <v>365</v>
      </c>
      <c r="E291" s="220" t="n">
        <v>176</v>
      </c>
      <c r="F291" s="220">
        <f>ROUND((D291-E291)/D291*C291,2)</f>
        <v/>
      </c>
      <c r="G291" s="220">
        <f>ROUND(C291*0,2)</f>
        <v/>
      </c>
      <c r="H291" s="220" t="n">
        <v>0</v>
      </c>
    </row>
    <row r="292" ht="28" customHeight="1" s="132">
      <c r="A292" s="220" t="inlineStr">
        <is>
          <t>A281</t>
        </is>
      </c>
      <c r="B292" s="220" t="inlineStr">
        <is>
          <t>LCC-2504255</t>
        </is>
      </c>
      <c r="C292" s="220" t="n">
        <v>178.5</v>
      </c>
      <c r="D292" s="220" t="n">
        <v>365</v>
      </c>
      <c r="E292" s="220" t="n">
        <v>175</v>
      </c>
      <c r="F292" s="220">
        <f>ROUND((D292-E292)/D292*C292,2)</f>
        <v/>
      </c>
      <c r="G292" s="220">
        <f>ROUND(C292*0,2)</f>
        <v/>
      </c>
      <c r="H292" s="220" t="n">
        <v>0</v>
      </c>
    </row>
    <row r="293" ht="28" customHeight="1" s="132">
      <c r="A293" s="220" t="inlineStr">
        <is>
          <t>A282</t>
        </is>
      </c>
      <c r="B293" s="220" t="inlineStr">
        <is>
          <t>LCC-2504256</t>
        </is>
      </c>
      <c r="C293" s="220" t="n">
        <v>178.5</v>
      </c>
      <c r="D293" s="220" t="n">
        <v>365</v>
      </c>
      <c r="E293" s="220" t="n">
        <v>169</v>
      </c>
      <c r="F293" s="220">
        <f>ROUND((D293-E293)/D293*C293,2)</f>
        <v/>
      </c>
      <c r="G293" s="220">
        <f>ROUND(C293*0,2)</f>
        <v/>
      </c>
      <c r="H293" s="220" t="n">
        <v>0</v>
      </c>
    </row>
    <row r="294" ht="28" customHeight="1" s="132">
      <c r="A294" s="220" t="inlineStr">
        <is>
          <t>A283</t>
        </is>
      </c>
      <c r="B294" s="220" t="inlineStr">
        <is>
          <t>LCC-2504257</t>
        </is>
      </c>
      <c r="C294" s="220" t="n">
        <v>12903.85</v>
      </c>
      <c r="D294" s="220" t="n">
        <v>365</v>
      </c>
      <c r="E294" s="220" t="n">
        <v>168</v>
      </c>
      <c r="F294" s="220">
        <f>ROUND((D294-E294)/D294*C294,2)</f>
        <v/>
      </c>
      <c r="G294" s="220">
        <f>ROUND(C294*0,2)</f>
        <v/>
      </c>
      <c r="H294" s="220" t="n">
        <v>0</v>
      </c>
    </row>
    <row r="295" ht="28" customHeight="1" s="132">
      <c r="A295" s="220" t="inlineStr">
        <is>
          <t>A284</t>
        </is>
      </c>
      <c r="B295" s="220" t="inlineStr">
        <is>
          <t>LCC-2504258</t>
        </is>
      </c>
      <c r="C295" s="220" t="n">
        <v>4250</v>
      </c>
      <c r="D295" s="220" t="n">
        <v>365</v>
      </c>
      <c r="E295" s="220" t="n">
        <v>169</v>
      </c>
      <c r="F295" s="220">
        <f>ROUND((D295-E295)/D295*C295,2)</f>
        <v/>
      </c>
      <c r="G295" s="220">
        <f>ROUND(C295*0,2)</f>
        <v/>
      </c>
      <c r="H295" s="220" t="n">
        <v>0</v>
      </c>
    </row>
    <row r="296" ht="28" customHeight="1" s="132">
      <c r="A296" s="220" t="inlineStr">
        <is>
          <t>A285</t>
        </is>
      </c>
      <c r="B296" s="220" t="inlineStr">
        <is>
          <t>LCC-2504260</t>
        </is>
      </c>
      <c r="C296" s="220" t="n">
        <v>4250</v>
      </c>
      <c r="D296" s="220" t="n">
        <v>365</v>
      </c>
      <c r="E296" s="220" t="n">
        <v>184</v>
      </c>
      <c r="F296" s="220">
        <f>ROUND((D296-E296)/D296*C296,2)</f>
        <v/>
      </c>
      <c r="G296" s="220">
        <f>ROUND(C296*0,2)</f>
        <v/>
      </c>
      <c r="H296" s="220" t="n">
        <v>0</v>
      </c>
    </row>
    <row r="297" ht="28" customHeight="1" s="132">
      <c r="A297" s="220" t="inlineStr">
        <is>
          <t>A286</t>
        </is>
      </c>
      <c r="B297" s="220" t="inlineStr">
        <is>
          <t>LCC-2504259</t>
        </is>
      </c>
      <c r="C297" s="220" t="n">
        <v>35577.6</v>
      </c>
      <c r="D297" s="220" t="n">
        <v>365</v>
      </c>
      <c r="E297" s="220" t="n">
        <v>184</v>
      </c>
      <c r="F297" s="220">
        <f>ROUND((D297-E297)/D297*C297,2)</f>
        <v/>
      </c>
      <c r="G297" s="220">
        <f>ROUND(C297*0,2)</f>
        <v/>
      </c>
      <c r="H297" s="220" t="n">
        <v>0</v>
      </c>
    </row>
    <row r="298" ht="28" customHeight="1" s="132">
      <c r="A298" s="220" t="inlineStr">
        <is>
          <t>A287</t>
        </is>
      </c>
      <c r="B298" s="220" t="inlineStr">
        <is>
          <t>LCC-2504224</t>
        </is>
      </c>
      <c r="C298" s="220" t="n">
        <v>722.5</v>
      </c>
      <c r="D298" s="220" t="n">
        <v>365</v>
      </c>
      <c r="E298" s="220" t="n">
        <v>205</v>
      </c>
      <c r="F298" s="220">
        <f>ROUND((D298-E298)/D298*C298,2)</f>
        <v/>
      </c>
      <c r="G298" s="220">
        <f>ROUND(C298*0,2)</f>
        <v/>
      </c>
      <c r="H298" s="220" t="n">
        <v>0</v>
      </c>
    </row>
    <row r="299" ht="28" customHeight="1" s="132">
      <c r="A299" s="220" t="inlineStr">
        <is>
          <t>A288</t>
        </is>
      </c>
      <c r="B299" s="220" t="inlineStr">
        <is>
          <t>LCC-2504265</t>
        </is>
      </c>
      <c r="C299" s="220" t="n">
        <v>9537</v>
      </c>
      <c r="D299" s="220" t="n">
        <v>365</v>
      </c>
      <c r="E299" s="220" t="n">
        <v>163</v>
      </c>
      <c r="F299" s="220">
        <f>ROUND((D299-E299)/D299*C299,2)</f>
        <v/>
      </c>
      <c r="G299" s="220">
        <f>ROUND(C299*0,2)</f>
        <v/>
      </c>
      <c r="H299" s="220" t="n">
        <v>0</v>
      </c>
    </row>
    <row r="300" ht="28" customHeight="1" s="132">
      <c r="A300" s="220" t="inlineStr">
        <is>
          <t>A289</t>
        </is>
      </c>
      <c r="B300" s="220" t="inlineStr">
        <is>
          <t>LCC-2504266</t>
        </is>
      </c>
      <c r="C300" s="220" t="n">
        <v>178.5</v>
      </c>
      <c r="D300" s="220" t="n">
        <v>365</v>
      </c>
      <c r="E300" s="220" t="n">
        <v>162</v>
      </c>
      <c r="F300" s="220">
        <f>ROUND((D300-E300)/D300*C300,2)</f>
        <v/>
      </c>
      <c r="G300" s="220">
        <f>ROUND(C300*0,2)</f>
        <v/>
      </c>
      <c r="H300" s="220" t="n">
        <v>0</v>
      </c>
    </row>
    <row r="301" ht="28" customHeight="1" s="132">
      <c r="A301" s="220" t="inlineStr">
        <is>
          <t>A290</t>
        </is>
      </c>
      <c r="B301" s="220" t="inlineStr">
        <is>
          <t>LCC-2504272</t>
        </is>
      </c>
      <c r="C301" s="220" t="n">
        <v>30043.49</v>
      </c>
      <c r="D301" s="220" t="n">
        <v>555</v>
      </c>
      <c r="E301" s="220" t="n">
        <v>160</v>
      </c>
      <c r="F301" s="220">
        <f>ROUND((D301-E301)/D301*C301,2)</f>
        <v/>
      </c>
      <c r="G301" s="220">
        <f>ROUND(C301*0,2)</f>
        <v/>
      </c>
      <c r="H301" s="220" t="n">
        <v>0</v>
      </c>
    </row>
    <row r="302" ht="28" customHeight="1" s="132">
      <c r="A302" s="220" t="inlineStr">
        <is>
          <t>A291</t>
        </is>
      </c>
      <c r="B302" s="220" t="inlineStr">
        <is>
          <t>LCC-2504270</t>
        </is>
      </c>
      <c r="C302" s="220" t="n">
        <v>837.25</v>
      </c>
      <c r="D302" s="220" t="n">
        <v>7</v>
      </c>
      <c r="E302" s="220" t="n">
        <v>116</v>
      </c>
      <c r="F302" s="220">
        <f>ROUND((D302-E302)/D302*C302,2)</f>
        <v/>
      </c>
      <c r="G302" s="220">
        <f>ROUND(C302*0,2)</f>
        <v/>
      </c>
      <c r="H302" s="220" t="n">
        <v>0</v>
      </c>
    </row>
    <row r="303" ht="28" customHeight="1" s="132">
      <c r="A303" s="220" t="inlineStr">
        <is>
          <t>A292</t>
        </is>
      </c>
      <c r="B303" s="220" t="inlineStr">
        <is>
          <t>LCC-2504268</t>
        </is>
      </c>
      <c r="C303" s="220" t="n">
        <v>178.5</v>
      </c>
      <c r="D303" s="220" t="n">
        <v>365</v>
      </c>
      <c r="E303" s="220" t="n">
        <v>161</v>
      </c>
      <c r="F303" s="220">
        <f>ROUND((D303-E303)/D303*C303,2)</f>
        <v/>
      </c>
      <c r="G303" s="220">
        <f>ROUND(C303*0,2)</f>
        <v/>
      </c>
      <c r="H303" s="220" t="n">
        <v>0</v>
      </c>
    </row>
    <row r="304" ht="28" customHeight="1" s="132">
      <c r="A304" s="220" t="inlineStr">
        <is>
          <t>A293</t>
        </is>
      </c>
      <c r="B304" s="220" t="inlineStr">
        <is>
          <t>LCC-2504267</t>
        </is>
      </c>
      <c r="C304" s="220" t="n">
        <v>10946.61</v>
      </c>
      <c r="D304" s="220" t="n">
        <v>190</v>
      </c>
      <c r="E304" s="220" t="n">
        <v>160</v>
      </c>
      <c r="F304" s="220">
        <f>ROUND((D304-E304)/D304*C304,2)</f>
        <v/>
      </c>
      <c r="G304" s="220">
        <f>ROUND(C304*0,2)</f>
        <v/>
      </c>
      <c r="H304" s="220" t="n">
        <v>0</v>
      </c>
    </row>
    <row r="305" ht="28" customHeight="1" s="132">
      <c r="A305" s="220" t="inlineStr">
        <is>
          <t>A294</t>
        </is>
      </c>
      <c r="B305" s="220" t="inlineStr">
        <is>
          <t>LCC-2504273</t>
        </is>
      </c>
      <c r="C305" s="220" t="n">
        <v>21670.65</v>
      </c>
      <c r="D305" s="220" t="n">
        <v>397</v>
      </c>
      <c r="E305" s="220" t="n">
        <v>160</v>
      </c>
      <c r="F305" s="220">
        <f>ROUND((D305-E305)/D305*C305,2)</f>
        <v/>
      </c>
      <c r="G305" s="220">
        <f>ROUND(C305*0,2)</f>
        <v/>
      </c>
      <c r="H305" s="220" t="n">
        <v>0</v>
      </c>
    </row>
    <row r="306" ht="28" customHeight="1" s="132">
      <c r="A306" s="220" t="inlineStr">
        <is>
          <t>A295</t>
        </is>
      </c>
      <c r="B306" s="220" t="inlineStr">
        <is>
          <t>LCC-2504271</t>
        </is>
      </c>
      <c r="C306" s="220" t="n">
        <v>22266.69</v>
      </c>
      <c r="D306" s="220" t="n">
        <v>555</v>
      </c>
      <c r="E306" s="220" t="n">
        <v>160</v>
      </c>
      <c r="F306" s="220">
        <f>ROUND((D306-E306)/D306*C306,2)</f>
        <v/>
      </c>
      <c r="G306" s="220">
        <f>ROUND(C306*0,2)</f>
        <v/>
      </c>
      <c r="H306" s="220" t="n">
        <v>0</v>
      </c>
    </row>
    <row r="307" ht="28" customHeight="1" s="132">
      <c r="A307" s="220" t="inlineStr">
        <is>
          <t>A296</t>
        </is>
      </c>
      <c r="B307" s="220" t="inlineStr">
        <is>
          <t>LCC-2504274</t>
        </is>
      </c>
      <c r="C307" s="220" t="n">
        <v>178.5</v>
      </c>
      <c r="D307" s="220" t="n">
        <v>365</v>
      </c>
      <c r="E307" s="220" t="n">
        <v>156</v>
      </c>
      <c r="F307" s="220">
        <f>ROUND((D307-E307)/D307*C307,2)</f>
        <v/>
      </c>
      <c r="G307" s="220">
        <f>ROUND(C307*0,2)</f>
        <v/>
      </c>
      <c r="H307" s="220" t="n">
        <v>0</v>
      </c>
    </row>
    <row r="308" ht="28" customHeight="1" s="132">
      <c r="A308" s="220" t="inlineStr">
        <is>
          <t>A297</t>
        </is>
      </c>
      <c r="B308" s="220" t="inlineStr">
        <is>
          <t>LCC-2504275</t>
        </is>
      </c>
      <c r="C308" s="220" t="n">
        <v>31790</v>
      </c>
      <c r="D308" s="220" t="n">
        <v>365</v>
      </c>
      <c r="E308" s="220" t="n">
        <v>154</v>
      </c>
      <c r="F308" s="220">
        <f>ROUND((D308-E308)/D308*C308,2)</f>
        <v/>
      </c>
      <c r="G308" s="220">
        <f>ROUND(C308*0,2)</f>
        <v/>
      </c>
      <c r="H308" s="220" t="n">
        <v>0</v>
      </c>
    </row>
    <row r="309" ht="28" customHeight="1" s="132">
      <c r="A309" s="220" t="inlineStr">
        <is>
          <t>A298</t>
        </is>
      </c>
      <c r="B309" s="220" t="inlineStr">
        <is>
          <t>LCC-2504276</t>
        </is>
      </c>
      <c r="C309" s="220" t="n">
        <v>178.5</v>
      </c>
      <c r="D309" s="220" t="n">
        <v>365</v>
      </c>
      <c r="E309" s="220" t="n">
        <v>155</v>
      </c>
      <c r="F309" s="220">
        <f>ROUND((D309-E309)/D309*C309,2)</f>
        <v/>
      </c>
      <c r="G309" s="220">
        <f>ROUND(C309*0,2)</f>
        <v/>
      </c>
      <c r="H309" s="220" t="n">
        <v>0</v>
      </c>
    </row>
    <row r="310" ht="28" customHeight="1" s="132">
      <c r="A310" s="220" t="inlineStr">
        <is>
          <t>A299</t>
        </is>
      </c>
      <c r="B310" s="220" t="inlineStr">
        <is>
          <t>LCC-2504278</t>
        </is>
      </c>
      <c r="C310" s="220" t="n">
        <v>15300</v>
      </c>
      <c r="D310" s="220" t="n">
        <v>154</v>
      </c>
      <c r="E310" s="220" t="n">
        <v>154</v>
      </c>
      <c r="F310" s="220">
        <f>ROUND((D310-E310)/D310*C310,2)</f>
        <v/>
      </c>
      <c r="G310" s="220">
        <f>ROUND(C310*0,2)</f>
        <v/>
      </c>
      <c r="H310" s="220" t="n">
        <v>0</v>
      </c>
    </row>
    <row r="311" ht="28" customHeight="1" s="132">
      <c r="A311" s="220" t="inlineStr">
        <is>
          <t>A300</t>
        </is>
      </c>
      <c r="B311" s="220" t="inlineStr">
        <is>
          <t>LCC-2504279</t>
        </is>
      </c>
      <c r="C311" s="220" t="n">
        <v>15300</v>
      </c>
      <c r="D311" s="220" t="n">
        <v>154</v>
      </c>
      <c r="E311" s="220" t="n">
        <v>154</v>
      </c>
      <c r="F311" s="220">
        <f>ROUND((D311-E311)/D311*C311,2)</f>
        <v/>
      </c>
      <c r="G311" s="220">
        <f>ROUND(C311*0,2)</f>
        <v/>
      </c>
      <c r="H311" s="220" t="n">
        <v>0</v>
      </c>
    </row>
    <row r="312" ht="28" customHeight="1" s="132">
      <c r="A312" s="220" t="inlineStr">
        <is>
          <t>A301</t>
        </is>
      </c>
      <c r="B312" s="220" t="inlineStr">
        <is>
          <t>LCC-2504280</t>
        </is>
      </c>
      <c r="C312" s="220" t="n">
        <v>1615</v>
      </c>
      <c r="D312" s="220" t="n">
        <v>9</v>
      </c>
      <c r="E312" s="220" t="n">
        <v>154</v>
      </c>
      <c r="F312" s="220">
        <f>ROUND((D312-E312)/D312*C312,2)</f>
        <v/>
      </c>
      <c r="G312" s="220">
        <f>ROUND(C312*0,2)</f>
        <v/>
      </c>
      <c r="H312" s="220" t="n">
        <v>0</v>
      </c>
    </row>
    <row r="313" ht="28" customHeight="1" s="132">
      <c r="A313" s="220" t="inlineStr">
        <is>
          <t>A302</t>
        </is>
      </c>
      <c r="B313" s="220" t="inlineStr">
        <is>
          <t>LCC-2504277</t>
        </is>
      </c>
      <c r="C313" s="220" t="n">
        <v>11900</v>
      </c>
      <c r="D313" s="220" t="n">
        <v>154</v>
      </c>
      <c r="E313" s="220" t="n">
        <v>154</v>
      </c>
      <c r="F313" s="220">
        <f>ROUND((D313-E313)/D313*C313,2)</f>
        <v/>
      </c>
      <c r="G313" s="220">
        <f>ROUND(C313*0,2)</f>
        <v/>
      </c>
      <c r="H313" s="220" t="n">
        <v>0</v>
      </c>
    </row>
    <row r="314" ht="28" customHeight="1" s="132">
      <c r="A314" s="220" t="inlineStr">
        <is>
          <t>A303</t>
        </is>
      </c>
      <c r="B314" s="220" t="inlineStr">
        <is>
          <t>LCC-2504284</t>
        </is>
      </c>
      <c r="C314" s="220" t="n">
        <v>4852.25</v>
      </c>
      <c r="D314" s="220" t="n">
        <v>320</v>
      </c>
      <c r="E314" s="220" t="n">
        <v>161</v>
      </c>
      <c r="F314" s="220">
        <f>ROUND((D314-E314)/D314*C314,2)</f>
        <v/>
      </c>
      <c r="G314" s="220">
        <f>ROUND(C314*0,2)</f>
        <v/>
      </c>
      <c r="H314" s="220" t="n">
        <v>0</v>
      </c>
    </row>
    <row r="315" ht="28" customHeight="1" s="132">
      <c r="A315" s="220" t="inlineStr">
        <is>
          <t>A304</t>
        </is>
      </c>
      <c r="B315" s="220" t="inlineStr">
        <is>
          <t>LCC-2504286</t>
        </is>
      </c>
      <c r="C315" s="220" t="n">
        <v>2687.7</v>
      </c>
      <c r="D315" s="220" t="n">
        <v>365</v>
      </c>
      <c r="E315" s="220" t="n">
        <v>152</v>
      </c>
      <c r="F315" s="220">
        <f>ROUND((D315-E315)/D315*C315,2)</f>
        <v/>
      </c>
      <c r="G315" s="220">
        <f>ROUND(C315*0,2)</f>
        <v/>
      </c>
      <c r="H315" s="220" t="n">
        <v>0</v>
      </c>
    </row>
    <row r="316" ht="28" customHeight="1" s="132">
      <c r="A316" s="220" t="inlineStr">
        <is>
          <t>A305</t>
        </is>
      </c>
      <c r="B316" s="220" t="inlineStr">
        <is>
          <t>LCC-2504282</t>
        </is>
      </c>
      <c r="C316" s="220" t="n">
        <v>1045</v>
      </c>
      <c r="D316" s="220" t="n">
        <v>365</v>
      </c>
      <c r="E316" s="220" t="n">
        <v>134</v>
      </c>
      <c r="F316" s="220">
        <f>ROUND((D316-E316)/D316*C316,2)</f>
        <v/>
      </c>
      <c r="G316" s="220">
        <f>ROUND(C316*0,2)</f>
        <v/>
      </c>
      <c r="H316" s="220" t="n">
        <v>0</v>
      </c>
    </row>
    <row r="317" ht="28" customHeight="1" s="132">
      <c r="A317" s="220" t="inlineStr">
        <is>
          <t>A306</t>
        </is>
      </c>
      <c r="B317" s="220" t="inlineStr">
        <is>
          <t>LCC-2504288</t>
        </is>
      </c>
      <c r="C317" s="220" t="n">
        <v>178.5</v>
      </c>
      <c r="D317" s="220" t="n">
        <v>365</v>
      </c>
      <c r="E317" s="220" t="n">
        <v>148</v>
      </c>
      <c r="F317" s="220">
        <f>ROUND((D317-E317)/D317*C317,2)</f>
        <v/>
      </c>
      <c r="G317" s="220">
        <f>ROUND(C317*0,2)</f>
        <v/>
      </c>
      <c r="H317" s="220" t="n">
        <v>0</v>
      </c>
    </row>
    <row r="318" ht="28" customHeight="1" s="132">
      <c r="A318" s="220" t="inlineStr">
        <is>
          <t>A307</t>
        </is>
      </c>
      <c r="B318" s="220" t="inlineStr">
        <is>
          <t>LCC-2504290</t>
        </is>
      </c>
      <c r="C318" s="220" t="n">
        <v>340</v>
      </c>
      <c r="D318" s="220" t="n">
        <v>365</v>
      </c>
      <c r="E318" s="220" t="n">
        <v>147</v>
      </c>
      <c r="F318" s="220">
        <f>ROUND((D318-E318)/D318*C318,2)</f>
        <v/>
      </c>
      <c r="G318" s="220">
        <f>ROUND(C318*0,2)</f>
        <v/>
      </c>
      <c r="H318" s="220" t="n">
        <v>0</v>
      </c>
    </row>
    <row r="319" ht="28" customHeight="1" s="132">
      <c r="A319" s="220" t="inlineStr">
        <is>
          <t>A308</t>
        </is>
      </c>
      <c r="B319" s="220" t="inlineStr">
        <is>
          <t>LCC-2504289</t>
        </is>
      </c>
      <c r="C319" s="220" t="n">
        <v>425</v>
      </c>
      <c r="D319" s="220" t="n">
        <v>8</v>
      </c>
      <c r="E319" s="220" t="n">
        <v>116</v>
      </c>
      <c r="F319" s="220">
        <f>ROUND((D319-E319)/D319*C319,2)</f>
        <v/>
      </c>
      <c r="G319" s="220">
        <f>ROUND(C319*0,2)</f>
        <v/>
      </c>
      <c r="H319" s="220" t="n">
        <v>0</v>
      </c>
    </row>
    <row r="320" ht="28" customHeight="1" s="132">
      <c r="A320" s="220" t="inlineStr">
        <is>
          <t>A309</t>
        </is>
      </c>
      <c r="B320" s="220" t="inlineStr">
        <is>
          <t>LCP-2504293</t>
        </is>
      </c>
      <c r="C320" s="220" t="n">
        <v>212.5</v>
      </c>
      <c r="D320" s="220" t="n">
        <v>365</v>
      </c>
      <c r="E320" s="220" t="n">
        <v>146</v>
      </c>
      <c r="F320" s="220">
        <f>ROUND((D320-E320)/D320*C320,2)</f>
        <v/>
      </c>
      <c r="G320" s="220">
        <f>ROUND(C320*0,2)</f>
        <v/>
      </c>
      <c r="H320" s="220" t="n">
        <v>0</v>
      </c>
    </row>
    <row r="321" ht="28" customHeight="1" s="132">
      <c r="A321" s="220" t="inlineStr">
        <is>
          <t>A310</t>
        </is>
      </c>
      <c r="B321" s="220" t="inlineStr">
        <is>
          <t>LCC-2504291</t>
        </is>
      </c>
      <c r="C321" s="220" t="n">
        <v>379.95</v>
      </c>
      <c r="D321" s="220" t="n">
        <v>365</v>
      </c>
      <c r="E321" s="220" t="n">
        <v>146</v>
      </c>
      <c r="F321" s="220">
        <f>ROUND((D321-E321)/D321*C321,2)</f>
        <v/>
      </c>
      <c r="G321" s="220">
        <f>ROUND(C321*0,2)</f>
        <v/>
      </c>
      <c r="H321" s="220" t="n">
        <v>0</v>
      </c>
    </row>
    <row r="322" ht="28" customHeight="1" s="132">
      <c r="A322" s="220" t="inlineStr">
        <is>
          <t>A311</t>
        </is>
      </c>
      <c r="B322" s="220" t="inlineStr">
        <is>
          <t>LCP-2504292</t>
        </is>
      </c>
      <c r="C322" s="220" t="n">
        <v>212.5</v>
      </c>
      <c r="D322" s="220" t="n">
        <v>365</v>
      </c>
      <c r="E322" s="220" t="n">
        <v>146</v>
      </c>
      <c r="F322" s="220">
        <f>ROUND((D322-E322)/D322*C322,2)</f>
        <v/>
      </c>
      <c r="G322" s="220">
        <f>ROUND(C322*0,2)</f>
        <v/>
      </c>
      <c r="H322" s="220" t="n">
        <v>0</v>
      </c>
    </row>
    <row r="323" ht="28" customHeight="1" s="132">
      <c r="A323" s="220" t="inlineStr">
        <is>
          <t>A312</t>
        </is>
      </c>
      <c r="B323" s="220" t="inlineStr">
        <is>
          <t>LCC-2504294</t>
        </is>
      </c>
      <c r="C323" s="220" t="n">
        <v>178.5</v>
      </c>
      <c r="D323" s="220" t="n">
        <v>365</v>
      </c>
      <c r="E323" s="220" t="n">
        <v>146</v>
      </c>
      <c r="F323" s="220">
        <f>ROUND((D323-E323)/D323*C323,2)</f>
        <v/>
      </c>
      <c r="G323" s="220">
        <f>ROUND(C323*0,2)</f>
        <v/>
      </c>
      <c r="H323" s="220" t="n">
        <v>0</v>
      </c>
    </row>
    <row r="324" ht="28" customHeight="1" s="132">
      <c r="A324" s="220" t="inlineStr">
        <is>
          <t>A313</t>
        </is>
      </c>
      <c r="B324" s="220" t="inlineStr">
        <is>
          <t>LCC-2504295</t>
        </is>
      </c>
      <c r="C324" s="220" t="n">
        <v>178.5</v>
      </c>
      <c r="D324" s="220" t="n">
        <v>365</v>
      </c>
      <c r="E324" s="220" t="n">
        <v>146</v>
      </c>
      <c r="F324" s="220">
        <f>ROUND((D324-E324)/D324*C324,2)</f>
        <v/>
      </c>
      <c r="G324" s="220">
        <f>ROUND(C324*0,2)</f>
        <v/>
      </c>
      <c r="H324" s="220" t="n">
        <v>0</v>
      </c>
    </row>
    <row r="325" ht="28" customHeight="1" s="132">
      <c r="A325" s="220" t="inlineStr">
        <is>
          <t>A314</t>
        </is>
      </c>
      <c r="B325" s="220" t="inlineStr">
        <is>
          <t>LCC-2504296</t>
        </is>
      </c>
      <c r="C325" s="220" t="n">
        <v>178.5</v>
      </c>
      <c r="D325" s="220" t="n">
        <v>365</v>
      </c>
      <c r="E325" s="220" t="n">
        <v>142</v>
      </c>
      <c r="F325" s="220">
        <f>ROUND((D325-E325)/D325*C325,2)</f>
        <v/>
      </c>
      <c r="G325" s="220">
        <f>ROUND(C325*0,2)</f>
        <v/>
      </c>
      <c r="H325" s="220" t="n">
        <v>0</v>
      </c>
    </row>
    <row r="326" ht="28" customHeight="1" s="132">
      <c r="A326" s="220" t="inlineStr">
        <is>
          <t>A315</t>
        </is>
      </c>
      <c r="B326" s="220" t="inlineStr">
        <is>
          <t>LCP-2504297</t>
        </is>
      </c>
      <c r="C326" s="220" t="n">
        <v>212.5</v>
      </c>
      <c r="D326" s="220" t="n">
        <v>365</v>
      </c>
      <c r="E326" s="220" t="n">
        <v>141</v>
      </c>
      <c r="F326" s="220">
        <f>ROUND((D326-E326)/D326*C326,2)</f>
        <v/>
      </c>
      <c r="G326" s="220">
        <f>ROUND(C326*0,2)</f>
        <v/>
      </c>
      <c r="H326" s="220" t="n">
        <v>0</v>
      </c>
    </row>
    <row r="327" ht="28" customHeight="1" s="132">
      <c r="A327" s="220" t="inlineStr">
        <is>
          <t>A316</t>
        </is>
      </c>
      <c r="B327" s="220" t="inlineStr">
        <is>
          <t>LCP-2504298</t>
        </is>
      </c>
      <c r="C327" s="220" t="n">
        <v>212.5</v>
      </c>
      <c r="D327" s="220" t="n">
        <v>365</v>
      </c>
      <c r="E327" s="220" t="n">
        <v>140</v>
      </c>
      <c r="F327" s="220">
        <f>ROUND((D327-E327)/D327*C327,2)</f>
        <v/>
      </c>
      <c r="G327" s="220">
        <f>ROUND(C327*0,2)</f>
        <v/>
      </c>
      <c r="H327" s="220" t="n">
        <v>0</v>
      </c>
    </row>
    <row r="328" ht="28" customHeight="1" s="132">
      <c r="A328" s="220" t="inlineStr">
        <is>
          <t>A317</t>
        </is>
      </c>
      <c r="B328" s="220" t="inlineStr">
        <is>
          <t>LCP-2504299</t>
        </is>
      </c>
      <c r="C328" s="220" t="n">
        <v>212.5</v>
      </c>
      <c r="D328" s="220" t="n">
        <v>365</v>
      </c>
      <c r="E328" s="220" t="n">
        <v>140</v>
      </c>
      <c r="F328" s="220">
        <f>ROUND((D328-E328)/D328*C328,2)</f>
        <v/>
      </c>
      <c r="G328" s="220">
        <f>ROUND(C328*0,2)</f>
        <v/>
      </c>
      <c r="H328" s="220" t="n">
        <v>0</v>
      </c>
    </row>
    <row r="329" ht="28" customHeight="1" s="132">
      <c r="A329" s="220" t="inlineStr">
        <is>
          <t>A318</t>
        </is>
      </c>
      <c r="B329" s="220" t="inlineStr">
        <is>
          <t>LCP-2504301</t>
        </is>
      </c>
      <c r="C329" s="220" t="n">
        <v>212.5</v>
      </c>
      <c r="D329" s="220" t="n">
        <v>365</v>
      </c>
      <c r="E329" s="220" t="n">
        <v>140</v>
      </c>
      <c r="F329" s="220">
        <f>ROUND((D329-E329)/D329*C329,2)</f>
        <v/>
      </c>
      <c r="G329" s="220">
        <f>ROUND(C329*0,2)</f>
        <v/>
      </c>
      <c r="H329" s="220" t="n">
        <v>0</v>
      </c>
    </row>
    <row r="330" ht="28" customHeight="1" s="132">
      <c r="A330" s="220" t="inlineStr">
        <is>
          <t>A319</t>
        </is>
      </c>
      <c r="B330" s="220" t="inlineStr">
        <is>
          <t>LCC-2504132</t>
        </is>
      </c>
      <c r="C330" s="220" t="n">
        <v>340</v>
      </c>
      <c r="D330" s="220" t="n">
        <v>365</v>
      </c>
      <c r="E330" s="220" t="n">
        <v>265</v>
      </c>
      <c r="F330" s="220">
        <f>ROUND((D330-E330)/D330*C330,2)</f>
        <v/>
      </c>
      <c r="G330" s="220">
        <f>ROUND(C330*0,2)</f>
        <v/>
      </c>
      <c r="H330" s="220" t="n">
        <v>0</v>
      </c>
    </row>
    <row r="331" ht="28" customHeight="1" s="132">
      <c r="A331" s="220" t="inlineStr">
        <is>
          <t>A320</t>
        </is>
      </c>
      <c r="B331" s="220" t="inlineStr">
        <is>
          <t>LCP-2504300</t>
        </is>
      </c>
      <c r="C331" s="220" t="n">
        <v>212.5</v>
      </c>
      <c r="D331" s="220" t="n">
        <v>365</v>
      </c>
      <c r="E331" s="220" t="n">
        <v>140</v>
      </c>
      <c r="F331" s="220">
        <f>ROUND((D331-E331)/D331*C331,2)</f>
        <v/>
      </c>
      <c r="G331" s="220">
        <f>ROUND(C331*0,2)</f>
        <v/>
      </c>
      <c r="H331" s="220" t="n">
        <v>0</v>
      </c>
    </row>
    <row r="332" ht="28" customHeight="1" s="132">
      <c r="A332" s="220" t="inlineStr">
        <is>
          <t>A321</t>
        </is>
      </c>
      <c r="B332" s="220" t="inlineStr">
        <is>
          <t>LCC-2504302</t>
        </is>
      </c>
      <c r="C332" s="220" t="n">
        <v>178.5</v>
      </c>
      <c r="D332" s="220" t="n">
        <v>365</v>
      </c>
      <c r="E332" s="220" t="n">
        <v>138</v>
      </c>
      <c r="F332" s="220">
        <f>ROUND((D332-E332)/D332*C332,2)</f>
        <v/>
      </c>
      <c r="G332" s="220">
        <f>ROUND(C332*0,2)</f>
        <v/>
      </c>
      <c r="H332" s="220" t="n">
        <v>0</v>
      </c>
    </row>
    <row r="333" ht="28" customHeight="1" s="132">
      <c r="A333" s="220" t="inlineStr">
        <is>
          <t>A322</t>
        </is>
      </c>
      <c r="B333" s="220" t="inlineStr">
        <is>
          <t>LCC-2504303</t>
        </is>
      </c>
      <c r="C333" s="220" t="n">
        <v>178.5</v>
      </c>
      <c r="D333" s="220" t="n">
        <v>365</v>
      </c>
      <c r="E333" s="220" t="n">
        <v>138</v>
      </c>
      <c r="F333" s="220">
        <f>ROUND((D333-E333)/D333*C333,2)</f>
        <v/>
      </c>
      <c r="G333" s="220">
        <f>ROUND(C333*0,2)</f>
        <v/>
      </c>
      <c r="H333" s="220" t="n">
        <v>0</v>
      </c>
    </row>
    <row r="334" ht="28" customHeight="1" s="132">
      <c r="A334" s="220" t="inlineStr">
        <is>
          <t>A323</t>
        </is>
      </c>
      <c r="B334" s="220" t="inlineStr">
        <is>
          <t>LCC-2504306</t>
        </is>
      </c>
      <c r="C334" s="220" t="n">
        <v>212.5</v>
      </c>
      <c r="D334" s="220" t="n">
        <v>365</v>
      </c>
      <c r="E334" s="220" t="n">
        <v>139</v>
      </c>
      <c r="F334" s="220">
        <f>ROUND((D334-E334)/D334*C334,2)</f>
        <v/>
      </c>
      <c r="G334" s="220">
        <f>ROUND(C334*0,2)</f>
        <v/>
      </c>
      <c r="H334" s="220" t="n">
        <v>0</v>
      </c>
    </row>
    <row r="335" ht="28" customHeight="1" s="132">
      <c r="A335" s="220" t="inlineStr">
        <is>
          <t>A324</t>
        </is>
      </c>
      <c r="B335" s="220" t="inlineStr">
        <is>
          <t>LCC-2504304</t>
        </is>
      </c>
      <c r="C335" s="220" t="n">
        <v>178.5</v>
      </c>
      <c r="D335" s="220" t="n">
        <v>365</v>
      </c>
      <c r="E335" s="220" t="n">
        <v>135</v>
      </c>
      <c r="F335" s="220">
        <f>ROUND((D335-E335)/D335*C335,2)</f>
        <v/>
      </c>
      <c r="G335" s="220">
        <f>ROUND(C335*0,2)</f>
        <v/>
      </c>
      <c r="H335" s="220" t="n">
        <v>0</v>
      </c>
    </row>
    <row r="336" ht="28" customHeight="1" s="132">
      <c r="A336" s="220" t="inlineStr">
        <is>
          <t>A325</t>
        </is>
      </c>
      <c r="B336" s="220" t="inlineStr">
        <is>
          <t>LCC-2504308</t>
        </is>
      </c>
      <c r="C336" s="220" t="n">
        <v>425</v>
      </c>
      <c r="D336" s="220" t="n">
        <v>365</v>
      </c>
      <c r="E336" s="220" t="n">
        <v>134</v>
      </c>
      <c r="F336" s="220">
        <f>ROUND((D336-E336)/D336*C336,2)</f>
        <v/>
      </c>
      <c r="G336" s="220">
        <f>ROUND(C336*0,2)</f>
        <v/>
      </c>
      <c r="H336" s="220" t="n">
        <v>0</v>
      </c>
    </row>
    <row r="337" ht="28" customHeight="1" s="132">
      <c r="A337" s="220" t="inlineStr">
        <is>
          <t>A326</t>
        </is>
      </c>
      <c r="B337" s="220" t="inlineStr">
        <is>
          <t>LCC-2504307</t>
        </is>
      </c>
      <c r="C337" s="220" t="n">
        <v>425</v>
      </c>
      <c r="D337" s="220" t="n">
        <v>365</v>
      </c>
      <c r="E337" s="220" t="n">
        <v>134</v>
      </c>
      <c r="F337" s="220">
        <f>ROUND((D337-E337)/D337*C337,2)</f>
        <v/>
      </c>
      <c r="G337" s="220">
        <f>ROUND(C337*0,2)</f>
        <v/>
      </c>
      <c r="H337" s="220" t="n">
        <v>0</v>
      </c>
    </row>
    <row r="338" ht="28" customHeight="1" s="132">
      <c r="A338" s="220" t="inlineStr">
        <is>
          <t>A327</t>
        </is>
      </c>
      <c r="B338" s="220" t="inlineStr">
        <is>
          <t>LCC-2504309</t>
        </is>
      </c>
      <c r="C338" s="220" t="n">
        <v>178.5</v>
      </c>
      <c r="D338" s="220" t="n">
        <v>365</v>
      </c>
      <c r="E338" s="220" t="n">
        <v>133</v>
      </c>
      <c r="F338" s="220">
        <f>ROUND((D338-E338)/D338*C338,2)</f>
        <v/>
      </c>
      <c r="G338" s="220">
        <f>ROUND(C338*0,2)</f>
        <v/>
      </c>
      <c r="H338" s="220" t="n">
        <v>0</v>
      </c>
    </row>
    <row r="339" ht="28" customHeight="1" s="132">
      <c r="A339" s="220" t="inlineStr">
        <is>
          <t>A328</t>
        </is>
      </c>
      <c r="B339" s="220" t="inlineStr">
        <is>
          <t>LCC-2504310</t>
        </is>
      </c>
      <c r="C339" s="220" t="n">
        <v>178.5</v>
      </c>
      <c r="D339" s="220" t="n">
        <v>365</v>
      </c>
      <c r="E339" s="220" t="n">
        <v>133</v>
      </c>
      <c r="F339" s="220">
        <f>ROUND((D339-E339)/D339*C339,2)</f>
        <v/>
      </c>
      <c r="G339" s="220">
        <f>ROUND(C339*0,2)</f>
        <v/>
      </c>
      <c r="H339" s="220" t="n">
        <v>0</v>
      </c>
    </row>
    <row r="340" ht="28" customHeight="1" s="132">
      <c r="A340" s="220" t="inlineStr">
        <is>
          <t>A329</t>
        </is>
      </c>
      <c r="B340" s="220" t="inlineStr">
        <is>
          <t>LCC-2504311</t>
        </is>
      </c>
      <c r="C340" s="220" t="n">
        <v>1680.01</v>
      </c>
      <c r="D340" s="220" t="n">
        <v>365</v>
      </c>
      <c r="E340" s="220" t="n">
        <v>113</v>
      </c>
      <c r="F340" s="220">
        <f>ROUND((D340-E340)/D340*C340,2)</f>
        <v/>
      </c>
      <c r="G340" s="220">
        <f>ROUND(C340*0,2)</f>
        <v/>
      </c>
      <c r="H340" s="220" t="n">
        <v>0</v>
      </c>
    </row>
    <row r="341" ht="28" customHeight="1" s="132">
      <c r="A341" s="220" t="inlineStr">
        <is>
          <t>A330</t>
        </is>
      </c>
      <c r="B341" s="220" t="inlineStr">
        <is>
          <t>LCC-2504313</t>
        </is>
      </c>
      <c r="C341" s="220" t="n">
        <v>178.5</v>
      </c>
      <c r="D341" s="220" t="n">
        <v>365</v>
      </c>
      <c r="E341" s="220" t="n">
        <v>127</v>
      </c>
      <c r="F341" s="220">
        <f>ROUND((D341-E341)/D341*C341,2)</f>
        <v/>
      </c>
      <c r="G341" s="220">
        <f>ROUND(C341*0,2)</f>
        <v/>
      </c>
      <c r="H341" s="220" t="n">
        <v>0</v>
      </c>
    </row>
    <row r="342" ht="28" customHeight="1" s="132">
      <c r="A342" s="220" t="inlineStr">
        <is>
          <t>A331</t>
        </is>
      </c>
      <c r="B342" s="220" t="inlineStr">
        <is>
          <t>LCC-2504316</t>
        </is>
      </c>
      <c r="C342" s="220" t="n">
        <v>178.5</v>
      </c>
      <c r="D342" s="220" t="n">
        <v>365</v>
      </c>
      <c r="E342" s="220" t="n">
        <v>127</v>
      </c>
      <c r="F342" s="220">
        <f>ROUND((D342-E342)/D342*C342,2)</f>
        <v/>
      </c>
      <c r="G342" s="220">
        <f>ROUND(C342*0,2)</f>
        <v/>
      </c>
      <c r="H342" s="220" t="n">
        <v>0</v>
      </c>
    </row>
    <row r="343" ht="28" customHeight="1" s="132">
      <c r="A343" s="220" t="inlineStr">
        <is>
          <t>A332</t>
        </is>
      </c>
      <c r="B343" s="220" t="inlineStr">
        <is>
          <t>LCC-2504312</t>
        </is>
      </c>
      <c r="C343" s="220" t="n">
        <v>42.5</v>
      </c>
      <c r="D343" s="220" t="n">
        <v>9</v>
      </c>
      <c r="E343" s="220" t="n">
        <v>82</v>
      </c>
      <c r="F343" s="220">
        <f>ROUND((D343-E343)/D343*C343,2)</f>
        <v/>
      </c>
      <c r="G343" s="220">
        <f>ROUND(C343*0,2)</f>
        <v/>
      </c>
      <c r="H343" s="220" t="n">
        <v>0</v>
      </c>
    </row>
    <row r="344" ht="28" customHeight="1" s="132">
      <c r="A344" s="220" t="inlineStr">
        <is>
          <t>A333</t>
        </is>
      </c>
      <c r="B344" s="220" t="inlineStr">
        <is>
          <t>LCC-2504317</t>
        </is>
      </c>
      <c r="C344" s="220" t="n">
        <v>4869.65</v>
      </c>
      <c r="D344" s="220" t="n">
        <v>365</v>
      </c>
      <c r="E344" s="220" t="n">
        <v>112</v>
      </c>
      <c r="F344" s="220">
        <f>ROUND((D344-E344)/D344*C344,2)</f>
        <v/>
      </c>
      <c r="G344" s="220">
        <f>ROUND(C344*0,2)</f>
        <v/>
      </c>
      <c r="H344" s="220" t="n">
        <v>0</v>
      </c>
    </row>
    <row r="345" ht="28" customHeight="1" s="132">
      <c r="A345" s="220" t="inlineStr">
        <is>
          <t>A334</t>
        </is>
      </c>
      <c r="B345" s="220" t="inlineStr">
        <is>
          <t>LCC-2504315</t>
        </is>
      </c>
      <c r="C345" s="220" t="n">
        <v>178.5</v>
      </c>
      <c r="D345" s="220" t="n">
        <v>365</v>
      </c>
      <c r="E345" s="220" t="n">
        <v>126</v>
      </c>
      <c r="F345" s="220">
        <f>ROUND((D345-E345)/D345*C345,2)</f>
        <v/>
      </c>
      <c r="G345" s="220">
        <f>ROUND(C345*0,2)</f>
        <v/>
      </c>
      <c r="H345" s="220" t="n">
        <v>0</v>
      </c>
    </row>
    <row r="346" ht="28" customHeight="1" s="132">
      <c r="A346" s="220" t="inlineStr">
        <is>
          <t>A335</t>
        </is>
      </c>
      <c r="B346" s="220" t="inlineStr">
        <is>
          <t>LCC-2504318</t>
        </is>
      </c>
      <c r="C346" s="220" t="n">
        <v>178.5</v>
      </c>
      <c r="D346" s="220" t="n">
        <v>365</v>
      </c>
      <c r="E346" s="220" t="n">
        <v>126</v>
      </c>
      <c r="F346" s="220">
        <f>ROUND((D346-E346)/D346*C346,2)</f>
        <v/>
      </c>
      <c r="G346" s="220">
        <f>ROUND(C346*0,2)</f>
        <v/>
      </c>
      <c r="H346" s="220" t="n">
        <v>0</v>
      </c>
    </row>
    <row r="347" ht="28" customHeight="1" s="132">
      <c r="A347" s="220" t="inlineStr">
        <is>
          <t>A336</t>
        </is>
      </c>
      <c r="B347" s="220" t="inlineStr">
        <is>
          <t>LCC-2504314</t>
        </is>
      </c>
      <c r="C347" s="220" t="n">
        <v>492</v>
      </c>
      <c r="D347" s="220" t="n">
        <v>365</v>
      </c>
      <c r="E347" s="220" t="n">
        <v>132</v>
      </c>
      <c r="F347" s="220">
        <f>ROUND((D347-E347)/D347*C347,2)</f>
        <v/>
      </c>
      <c r="G347" s="220">
        <f>ROUND(C347*0,2)</f>
        <v/>
      </c>
      <c r="H347" s="220" t="n">
        <v>0</v>
      </c>
    </row>
    <row r="348" ht="28" customHeight="1" s="132">
      <c r="A348" s="220" t="inlineStr">
        <is>
          <t>A337</t>
        </is>
      </c>
      <c r="B348" s="220" t="inlineStr">
        <is>
          <t>LCC-2504319</t>
        </is>
      </c>
      <c r="C348" s="220" t="n">
        <v>340</v>
      </c>
      <c r="D348" s="220" t="n">
        <v>365</v>
      </c>
      <c r="E348" s="220" t="n">
        <v>125</v>
      </c>
      <c r="F348" s="220">
        <f>ROUND((D348-E348)/D348*C348,2)</f>
        <v/>
      </c>
      <c r="G348" s="220">
        <f>ROUND(C348*0,2)</f>
        <v/>
      </c>
      <c r="H348" s="220" t="n">
        <v>0</v>
      </c>
    </row>
    <row r="349" ht="28" customHeight="1" s="132">
      <c r="A349" s="220" t="inlineStr">
        <is>
          <t>A338</t>
        </is>
      </c>
      <c r="B349" s="220" t="inlineStr">
        <is>
          <t>LCC-2504144</t>
        </is>
      </c>
      <c r="C349" s="220" t="n">
        <v>170</v>
      </c>
      <c r="D349" s="220" t="n">
        <v>365</v>
      </c>
      <c r="E349" s="220" t="n">
        <v>250</v>
      </c>
      <c r="F349" s="220">
        <f>ROUND((D349-E349)/D349*C349,2)</f>
        <v/>
      </c>
      <c r="G349" s="220">
        <f>ROUND(C349*0,2)</f>
        <v/>
      </c>
      <c r="H349" s="220" t="n">
        <v>0</v>
      </c>
    </row>
    <row r="350" ht="28" customHeight="1" s="132">
      <c r="A350" s="220" t="inlineStr">
        <is>
          <t>A339</t>
        </is>
      </c>
      <c r="B350" s="220" t="inlineStr">
        <is>
          <t>LCC-2504321</t>
        </is>
      </c>
      <c r="C350" s="220" t="n">
        <v>8168.58</v>
      </c>
      <c r="D350" s="220" t="n">
        <v>365</v>
      </c>
      <c r="E350" s="220" t="n">
        <v>121</v>
      </c>
      <c r="F350" s="220">
        <f>ROUND((D350-E350)/D350*C350,2)</f>
        <v/>
      </c>
      <c r="G350" s="220">
        <f>ROUND(C350*0,2)</f>
        <v/>
      </c>
      <c r="H350" s="220" t="n">
        <v>0</v>
      </c>
    </row>
    <row r="351" ht="28" customHeight="1" s="132">
      <c r="A351" s="220" t="inlineStr">
        <is>
          <t>A340</t>
        </is>
      </c>
      <c r="B351" s="220" t="inlineStr">
        <is>
          <t>LCP-2504322</t>
        </is>
      </c>
      <c r="C351" s="220" t="n">
        <v>212.5</v>
      </c>
      <c r="D351" s="220" t="n">
        <v>365</v>
      </c>
      <c r="E351" s="220" t="n">
        <v>121</v>
      </c>
      <c r="F351" s="220">
        <f>ROUND((D351-E351)/D351*C351,2)</f>
        <v/>
      </c>
      <c r="G351" s="220">
        <f>ROUND(C351*0,2)</f>
        <v/>
      </c>
      <c r="H351" s="220" t="n">
        <v>0</v>
      </c>
    </row>
    <row r="352" ht="28" customHeight="1" s="132">
      <c r="A352" s="220" t="inlineStr">
        <is>
          <t>A341</t>
        </is>
      </c>
      <c r="B352" s="220" t="inlineStr">
        <is>
          <t>LCC-2504324</t>
        </is>
      </c>
      <c r="C352" s="220" t="n">
        <v>583.1</v>
      </c>
      <c r="D352" s="220" t="n">
        <v>365</v>
      </c>
      <c r="E352" s="220" t="n">
        <v>121</v>
      </c>
      <c r="F352" s="220">
        <f>ROUND((D352-E352)/D352*C352,2)</f>
        <v/>
      </c>
      <c r="G352" s="220">
        <f>ROUND(C352*0,2)</f>
        <v/>
      </c>
      <c r="H352" s="220" t="n">
        <v>0</v>
      </c>
    </row>
    <row r="353" ht="28" customHeight="1" s="132">
      <c r="A353" s="220" t="inlineStr">
        <is>
          <t>A342</t>
        </is>
      </c>
      <c r="B353" s="220" t="inlineStr">
        <is>
          <t>LCC-2504326</t>
        </is>
      </c>
      <c r="C353" s="220" t="n">
        <v>23573.9</v>
      </c>
      <c r="D353" s="220" t="n">
        <v>331</v>
      </c>
      <c r="E353" s="220" t="n">
        <v>120</v>
      </c>
      <c r="F353" s="220">
        <f>ROUND((D353-E353)/D353*C353,2)</f>
        <v/>
      </c>
      <c r="G353" s="220">
        <f>ROUND(C353*0,2)</f>
        <v/>
      </c>
      <c r="H353" s="220" t="n">
        <v>0</v>
      </c>
    </row>
    <row r="354" ht="28" customHeight="1" s="132">
      <c r="A354" s="220" t="inlineStr">
        <is>
          <t>A343</t>
        </is>
      </c>
      <c r="B354" s="220" t="inlineStr">
        <is>
          <t>LCC-2504328</t>
        </is>
      </c>
      <c r="C354" s="220" t="n">
        <v>4956.35</v>
      </c>
      <c r="D354" s="220" t="n">
        <v>90</v>
      </c>
      <c r="E354" s="220" t="n">
        <v>119</v>
      </c>
      <c r="F354" s="220">
        <f>ROUND((D354-E354)/D354*C354,2)</f>
        <v/>
      </c>
      <c r="G354" s="220">
        <f>ROUND(C354*0,2)</f>
        <v/>
      </c>
      <c r="H354" s="220" t="n">
        <v>0</v>
      </c>
    </row>
    <row r="355" ht="28" customHeight="1" s="132">
      <c r="A355" s="220" t="inlineStr">
        <is>
          <t>A344</t>
        </is>
      </c>
      <c r="B355" s="220" t="inlineStr">
        <is>
          <t>LCC-2504325</t>
        </is>
      </c>
      <c r="C355" s="220" t="n">
        <v>255</v>
      </c>
      <c r="D355" s="220" t="n">
        <v>365</v>
      </c>
      <c r="E355" s="220" t="n">
        <v>120</v>
      </c>
      <c r="F355" s="220">
        <f>ROUND((D355-E355)/D355*C355,2)</f>
        <v/>
      </c>
      <c r="G355" s="220">
        <f>ROUND(C355*0,2)</f>
        <v/>
      </c>
      <c r="H355" s="220" t="n">
        <v>0</v>
      </c>
    </row>
    <row r="356" ht="28" customHeight="1" s="132">
      <c r="A356" s="220" t="inlineStr">
        <is>
          <t>A345</t>
        </is>
      </c>
      <c r="B356" s="220" t="inlineStr">
        <is>
          <t>LCC-2504329</t>
        </is>
      </c>
      <c r="C356" s="220" t="n">
        <v>1243.55</v>
      </c>
      <c r="D356" s="220" t="n">
        <v>365</v>
      </c>
      <c r="E356" s="220" t="n">
        <v>112</v>
      </c>
      <c r="F356" s="220">
        <f>ROUND((D356-E356)/D356*C356,2)</f>
        <v/>
      </c>
      <c r="G356" s="220">
        <f>ROUND(C356*0,2)</f>
        <v/>
      </c>
      <c r="H356" s="220" t="n">
        <v>0</v>
      </c>
    </row>
    <row r="357" ht="28" customHeight="1" s="132">
      <c r="A357" s="220" t="inlineStr">
        <is>
          <t>A346</t>
        </is>
      </c>
      <c r="B357" s="220" t="inlineStr">
        <is>
          <t>LCC-2504332</t>
        </is>
      </c>
      <c r="C357" s="220" t="n">
        <v>366.35</v>
      </c>
      <c r="D357" s="220" t="n">
        <v>3</v>
      </c>
      <c r="E357" s="220" t="n">
        <v>79</v>
      </c>
      <c r="F357" s="220">
        <f>ROUND((D357-E357)/D357*C357,2)</f>
        <v/>
      </c>
      <c r="G357" s="220">
        <f>ROUND(C357*0,2)</f>
        <v/>
      </c>
      <c r="H357" s="220" t="n">
        <v>0</v>
      </c>
    </row>
    <row r="358" ht="28" customHeight="1" s="132">
      <c r="A358" s="220" t="inlineStr">
        <is>
          <t>A347</t>
        </is>
      </c>
      <c r="B358" s="220" t="inlineStr">
        <is>
          <t>LCC-2504330</t>
        </is>
      </c>
      <c r="C358" s="220" t="n">
        <v>178.5</v>
      </c>
      <c r="D358" s="220" t="n">
        <v>365</v>
      </c>
      <c r="E358" s="220" t="n">
        <v>110</v>
      </c>
      <c r="F358" s="220">
        <f>ROUND((D358-E358)/D358*C358,2)</f>
        <v/>
      </c>
      <c r="G358" s="220">
        <f>ROUND(C358*0,2)</f>
        <v/>
      </c>
      <c r="H358" s="220" t="n">
        <v>0</v>
      </c>
    </row>
    <row r="359" ht="28" customHeight="1" s="132">
      <c r="A359" s="220" t="inlineStr">
        <is>
          <t>A348</t>
        </is>
      </c>
      <c r="B359" s="220" t="inlineStr">
        <is>
          <t>LCC-2504331</t>
        </is>
      </c>
      <c r="C359" s="220" t="n">
        <v>178.5</v>
      </c>
      <c r="D359" s="220" t="n">
        <v>365</v>
      </c>
      <c r="E359" s="220" t="n">
        <v>110</v>
      </c>
      <c r="F359" s="220">
        <f>ROUND((D359-E359)/D359*C359,2)</f>
        <v/>
      </c>
      <c r="G359" s="220">
        <f>ROUND(C359*0,2)</f>
        <v/>
      </c>
      <c r="H359" s="220" t="n">
        <v>0</v>
      </c>
    </row>
    <row r="360" ht="28" customHeight="1" s="132">
      <c r="A360" s="220" t="inlineStr">
        <is>
          <t>A349</t>
        </is>
      </c>
      <c r="B360" s="220" t="inlineStr">
        <is>
          <t>LCC-2504334</t>
        </is>
      </c>
      <c r="C360" s="220" t="n">
        <v>178.5</v>
      </c>
      <c r="D360" s="220" t="n">
        <v>365</v>
      </c>
      <c r="E360" s="220" t="n">
        <v>77</v>
      </c>
      <c r="F360" s="220">
        <f>ROUND((D360-E360)/D360*C360,2)</f>
        <v/>
      </c>
      <c r="G360" s="220">
        <f>ROUND(C360*0,2)</f>
        <v/>
      </c>
      <c r="H360" s="220" t="n">
        <v>0</v>
      </c>
    </row>
    <row r="361" ht="28" customHeight="1" s="132">
      <c r="A361" s="220" t="inlineStr">
        <is>
          <t>A350</t>
        </is>
      </c>
      <c r="B361" s="220" t="inlineStr">
        <is>
          <t>LCC-2504335</t>
        </is>
      </c>
      <c r="C361" s="220" t="n">
        <v>3431.88</v>
      </c>
      <c r="D361" s="220" t="n">
        <v>365</v>
      </c>
      <c r="E361" s="220" t="n">
        <v>97</v>
      </c>
      <c r="F361" s="220">
        <f>ROUND((D361-E361)/D361*C361,2)</f>
        <v/>
      </c>
      <c r="G361" s="220">
        <f>ROUND(C361*0,2)</f>
        <v/>
      </c>
      <c r="H361" s="220" t="n">
        <v>0</v>
      </c>
    </row>
    <row r="362" ht="28" customHeight="1" s="132">
      <c r="A362" s="220" t="inlineStr">
        <is>
          <t>A351</t>
        </is>
      </c>
      <c r="B362" s="220" t="inlineStr">
        <is>
          <t>LCC-2504337</t>
        </is>
      </c>
      <c r="C362" s="220" t="n">
        <v>178.5</v>
      </c>
      <c r="D362" s="220" t="n">
        <v>365</v>
      </c>
      <c r="E362" s="220" t="n">
        <v>104</v>
      </c>
      <c r="F362" s="220">
        <f>ROUND((D362-E362)/D362*C362,2)</f>
        <v/>
      </c>
      <c r="G362" s="220">
        <f>ROUND(C362*0,2)</f>
        <v/>
      </c>
      <c r="H362" s="220" t="n">
        <v>0</v>
      </c>
    </row>
    <row r="363" ht="28" customHeight="1" s="132">
      <c r="A363" s="220" t="inlineStr">
        <is>
          <t>A352</t>
        </is>
      </c>
      <c r="B363" s="220" t="inlineStr">
        <is>
          <t>LCC-2504336</t>
        </is>
      </c>
      <c r="C363" s="220" t="n">
        <v>178.5</v>
      </c>
      <c r="D363" s="220" t="n">
        <v>365</v>
      </c>
      <c r="E363" s="220" t="n">
        <v>104</v>
      </c>
      <c r="F363" s="220">
        <f>ROUND((D363-E363)/D363*C363,2)</f>
        <v/>
      </c>
      <c r="G363" s="220">
        <f>ROUND(C363*0,2)</f>
        <v/>
      </c>
      <c r="H363" s="220" t="n">
        <v>0</v>
      </c>
    </row>
    <row r="364" ht="28" customHeight="1" s="132">
      <c r="A364" s="220" t="inlineStr">
        <is>
          <t>A353</t>
        </is>
      </c>
      <c r="B364" s="220" t="inlineStr">
        <is>
          <t>LCC-2504338</t>
        </is>
      </c>
      <c r="C364" s="220" t="n">
        <v>5006.25</v>
      </c>
      <c r="D364" s="220" t="n">
        <v>365</v>
      </c>
      <c r="E364" s="220" t="n">
        <v>92</v>
      </c>
      <c r="F364" s="220">
        <f>ROUND((D364-E364)/D364*C364,2)</f>
        <v/>
      </c>
      <c r="G364" s="220">
        <f>ROUND(C364*0,2)</f>
        <v/>
      </c>
      <c r="H364" s="220" t="n">
        <v>0</v>
      </c>
    </row>
    <row r="365" ht="28" customHeight="1" s="132">
      <c r="A365" s="220" t="inlineStr">
        <is>
          <t>A354</t>
        </is>
      </c>
      <c r="B365" s="220" t="inlineStr">
        <is>
          <t>LCC-2504339</t>
        </is>
      </c>
      <c r="C365" s="220" t="n">
        <v>5109.52</v>
      </c>
      <c r="D365" s="220" t="n">
        <v>365</v>
      </c>
      <c r="E365" s="220" t="n">
        <v>104</v>
      </c>
      <c r="F365" s="220">
        <f>ROUND((D365-E365)/D365*C365,2)</f>
        <v/>
      </c>
      <c r="G365" s="220">
        <f>ROUND(C365*0,2)</f>
        <v/>
      </c>
      <c r="H365" s="220" t="n">
        <v>0</v>
      </c>
    </row>
    <row r="366" ht="28" customHeight="1" s="132">
      <c r="A366" s="220" t="inlineStr">
        <is>
          <t>A355</t>
        </is>
      </c>
      <c r="B366" s="220" t="inlineStr">
        <is>
          <t>LCC-2504340</t>
        </is>
      </c>
      <c r="C366" s="220" t="n">
        <v>178.5</v>
      </c>
      <c r="D366" s="220" t="n">
        <v>365</v>
      </c>
      <c r="E366" s="220" t="n">
        <v>100</v>
      </c>
      <c r="F366" s="220">
        <f>ROUND((D366-E366)/D366*C366,2)</f>
        <v/>
      </c>
      <c r="G366" s="220">
        <f>ROUND(C366*0,2)</f>
        <v/>
      </c>
      <c r="H366" s="220" t="n">
        <v>0</v>
      </c>
    </row>
    <row r="367" ht="28" customHeight="1" s="132">
      <c r="A367" s="220" t="inlineStr">
        <is>
          <t>A356</t>
        </is>
      </c>
      <c r="B367" s="220" t="inlineStr">
        <is>
          <t>LCC-2504341</t>
        </is>
      </c>
      <c r="C367" s="220" t="n">
        <v>297.5</v>
      </c>
      <c r="D367" s="220" t="n">
        <v>365</v>
      </c>
      <c r="E367" s="220" t="n">
        <v>99</v>
      </c>
      <c r="F367" s="220">
        <f>ROUND((D367-E367)/D367*C367,2)</f>
        <v/>
      </c>
      <c r="G367" s="220">
        <f>ROUND(C367*0,2)</f>
        <v/>
      </c>
      <c r="H367" s="220" t="n">
        <v>0</v>
      </c>
    </row>
    <row r="368" ht="28" customHeight="1" s="132">
      <c r="A368" s="220" t="inlineStr">
        <is>
          <t>A357</t>
        </is>
      </c>
      <c r="B368" s="220" t="inlineStr">
        <is>
          <t>LCC-2504346</t>
        </is>
      </c>
      <c r="C368" s="220" t="n">
        <v>60915.02</v>
      </c>
      <c r="D368" s="220" t="n">
        <v>324</v>
      </c>
      <c r="E368" s="220" t="n">
        <v>365</v>
      </c>
      <c r="F368" s="220">
        <f>ROUND((D368-E368)/D368*C368,2)</f>
        <v/>
      </c>
      <c r="G368" s="220">
        <f>ROUND(C368*0,2)</f>
        <v/>
      </c>
      <c r="H368" s="220" t="n">
        <v>0</v>
      </c>
    </row>
    <row r="369" ht="28" customHeight="1" s="132">
      <c r="A369" s="220" t="inlineStr">
        <is>
          <t>A358</t>
        </is>
      </c>
      <c r="B369" s="220" t="inlineStr">
        <is>
          <t>LCC-2504345</t>
        </is>
      </c>
      <c r="C369" s="220" t="n">
        <v>2480.36</v>
      </c>
      <c r="D369" s="220" t="n">
        <v>365</v>
      </c>
      <c r="E369" s="220" t="n">
        <v>100</v>
      </c>
      <c r="F369" s="220">
        <f>ROUND((D369-E369)/D369*C369,2)</f>
        <v/>
      </c>
      <c r="G369" s="220">
        <f>ROUND(C369*0,2)</f>
        <v/>
      </c>
      <c r="H369" s="220" t="n">
        <v>0</v>
      </c>
    </row>
    <row r="370" ht="28" customHeight="1" s="132">
      <c r="A370" s="220" t="inlineStr">
        <is>
          <t>A359</t>
        </is>
      </c>
      <c r="B370" s="220" t="inlineStr">
        <is>
          <t>LCC-2503997</t>
        </is>
      </c>
      <c r="C370" s="220" t="n">
        <v>270</v>
      </c>
      <c r="D370" s="220" t="n">
        <v>365</v>
      </c>
      <c r="E370" s="220" t="n">
        <v>348</v>
      </c>
      <c r="F370" s="220">
        <f>ROUND((D370-E370)/D370*C370,2)</f>
        <v/>
      </c>
      <c r="G370" s="220">
        <f>ROUND(C370*0,2)</f>
        <v/>
      </c>
      <c r="H370" s="220" t="n">
        <v>0</v>
      </c>
    </row>
    <row r="371" ht="28" customHeight="1" s="132">
      <c r="A371" s="220" t="inlineStr">
        <is>
          <t>A360</t>
        </is>
      </c>
      <c r="B371" s="220" t="inlineStr">
        <is>
          <t>LCC-2504353</t>
        </is>
      </c>
      <c r="C371" s="220" t="n">
        <v>178.5</v>
      </c>
      <c r="D371" s="220" t="n">
        <v>365</v>
      </c>
      <c r="E371" s="220" t="n">
        <v>96</v>
      </c>
      <c r="F371" s="220">
        <f>ROUND((D371-E371)/D371*C371,2)</f>
        <v/>
      </c>
      <c r="G371" s="220">
        <f>ROUND(C371*0,2)</f>
        <v/>
      </c>
      <c r="H371" s="220" t="n">
        <v>0</v>
      </c>
    </row>
    <row r="372" ht="28" customHeight="1" s="132">
      <c r="A372" s="220" t="inlineStr">
        <is>
          <t>A361</t>
        </is>
      </c>
      <c r="B372" s="220" t="inlineStr">
        <is>
          <t>LCC-2504349</t>
        </is>
      </c>
      <c r="C372" s="220" t="n">
        <v>425</v>
      </c>
      <c r="D372" s="220" t="n">
        <v>9</v>
      </c>
      <c r="E372" s="220" t="n">
        <v>66</v>
      </c>
      <c r="F372" s="220">
        <f>ROUND((D372-E372)/D372*C372,2)</f>
        <v/>
      </c>
      <c r="G372" s="220">
        <f>ROUND(C372*0,2)</f>
        <v/>
      </c>
      <c r="H372" s="220" t="n">
        <v>0</v>
      </c>
    </row>
    <row r="373" ht="28" customHeight="1" s="132">
      <c r="A373" s="220" t="inlineStr">
        <is>
          <t>A362</t>
        </is>
      </c>
      <c r="B373" s="220" t="inlineStr">
        <is>
          <t>LCC-2504351</t>
        </is>
      </c>
      <c r="C373" s="220" t="n">
        <v>5800</v>
      </c>
      <c r="D373" s="220" t="n">
        <v>365</v>
      </c>
      <c r="E373" s="220" t="n">
        <v>223</v>
      </c>
      <c r="F373" s="220">
        <f>ROUND((D373-E373)/D373*C373,2)</f>
        <v/>
      </c>
      <c r="G373" s="220">
        <f>ROUND(C373*0,2)</f>
        <v/>
      </c>
      <c r="H373" s="220" t="n">
        <v>0</v>
      </c>
    </row>
    <row r="374" ht="28" customHeight="1" s="132">
      <c r="A374" s="220" t="inlineStr">
        <is>
          <t>A363</t>
        </is>
      </c>
      <c r="B374" s="220" t="inlineStr">
        <is>
          <t>LCC-2504355</t>
        </is>
      </c>
      <c r="C374" s="220" t="n">
        <v>1020</v>
      </c>
      <c r="D374" s="220" t="n">
        <v>9</v>
      </c>
      <c r="E374" s="220" t="n">
        <v>82</v>
      </c>
      <c r="F374" s="220">
        <f>ROUND((D374-E374)/D374*C374,2)</f>
        <v/>
      </c>
      <c r="G374" s="220">
        <f>ROUND(C374*0,2)</f>
        <v/>
      </c>
      <c r="H374" s="220" t="n">
        <v>0</v>
      </c>
    </row>
    <row r="375" ht="28" customHeight="1" s="132">
      <c r="A375" s="220" t="inlineStr">
        <is>
          <t>A364</t>
        </is>
      </c>
      <c r="B375" s="220" t="inlineStr">
        <is>
          <t>LCC-2504352</t>
        </is>
      </c>
      <c r="C375" s="220" t="n">
        <v>178.5</v>
      </c>
      <c r="D375" s="220" t="n">
        <v>365</v>
      </c>
      <c r="E375" s="220" t="n">
        <v>96</v>
      </c>
      <c r="F375" s="220">
        <f>ROUND((D375-E375)/D375*C375,2)</f>
        <v/>
      </c>
      <c r="G375" s="220">
        <f>ROUND(C375*0,2)</f>
        <v/>
      </c>
      <c r="H375" s="220" t="n">
        <v>0</v>
      </c>
    </row>
    <row r="376" ht="28" customHeight="1" s="132">
      <c r="A376" s="220" t="inlineStr">
        <is>
          <t>A365</t>
        </is>
      </c>
      <c r="B376" s="220" t="inlineStr">
        <is>
          <t>LCC-2504354</t>
        </is>
      </c>
      <c r="C376" s="220" t="n">
        <v>722.5</v>
      </c>
      <c r="D376" s="220" t="n">
        <v>9</v>
      </c>
      <c r="E376" s="220" t="n">
        <v>82</v>
      </c>
      <c r="F376" s="220">
        <f>ROUND((D376-E376)/D376*C376,2)</f>
        <v/>
      </c>
      <c r="G376" s="220">
        <f>ROUND(C376*0,2)</f>
        <v/>
      </c>
      <c r="H376" s="220" t="n">
        <v>0</v>
      </c>
    </row>
    <row r="377" ht="28" customHeight="1" s="132">
      <c r="A377" s="220" t="inlineStr">
        <is>
          <t>A366</t>
        </is>
      </c>
      <c r="B377" s="220" t="inlineStr">
        <is>
          <t>LCC-2504356</t>
        </is>
      </c>
      <c r="C377" s="220" t="n">
        <v>178.5</v>
      </c>
      <c r="D377" s="220" t="n">
        <v>365</v>
      </c>
      <c r="E377" s="220" t="n">
        <v>92</v>
      </c>
      <c r="F377" s="220">
        <f>ROUND((D377-E377)/D377*C377,2)</f>
        <v/>
      </c>
      <c r="G377" s="220">
        <f>ROUND(C377*0,2)</f>
        <v/>
      </c>
      <c r="H377" s="220" t="n">
        <v>0</v>
      </c>
    </row>
    <row r="378">
      <c r="A378" s="222" t="inlineStr">
        <is>
          <t>AA1</t>
        </is>
      </c>
      <c r="B378" s="222" t="inlineStr">
        <is>
          <t>Yekun BSH</t>
        </is>
      </c>
      <c r="C378" s="222">
        <f>ROUND(SUM(C12:C377),2)</f>
        <v/>
      </c>
      <c r="D378" s="29" t="n"/>
      <c r="E378" s="29" t="n"/>
      <c r="F378" s="222">
        <f>ROUND(SUM(F12:F377),2)</f>
        <v/>
      </c>
      <c r="G378" s="222">
        <f>ROUND(SUM(G12:G377),2)</f>
        <v/>
      </c>
      <c r="H378" s="222">
        <f>ROUND(SUM(H12:H377),2)</f>
        <v/>
      </c>
    </row>
    <row r="379">
      <c r="B379" s="18" t="inlineStr">
        <is>
          <t>Təkrarsığorta müqavilələri (təkrarsığortaya qəbul edilmiş risklər üzrə)</t>
        </is>
      </c>
      <c r="C379" s="18" t="inlineStr">
        <is>
          <t>Baza təkrarsığorta haqqı</t>
        </is>
      </c>
      <c r="D379" s="18" t="inlineStr">
        <is>
          <t xml:space="preserve"> Təkrarsığorta təminatının müddəti (günlərlə) </t>
        </is>
      </c>
      <c r="E379" s="18" t="inlineStr">
        <is>
          <t xml:space="preserve">Təkrarsığorta təminatının başlandığı andan hesabat tarixinə qədər günlərin sayı </t>
        </is>
      </c>
      <c r="F379" s="18" t="inlineStr">
        <is>
          <t>Qazanılmamış təkrarsığorta haqqı (süt.2x(süt.3-süt.4)/süt.3)</t>
        </is>
      </c>
      <c r="G379" s="18" t="inlineStr">
        <is>
          <t>Baza təkrarsığorta haqqının katastrofik risk təminatına düşən hissəsi</t>
        </is>
      </c>
      <c r="H379" s="18" t="inlineStr">
        <is>
          <t>Qazanılmamış təkrarsığorta haqının katastrofik risk təminatına düşən hissəsi
(VIx(III-IV)/III)</t>
        </is>
      </c>
    </row>
    <row r="380">
      <c r="A380" t="inlineStr">
        <is>
          <t>B</t>
        </is>
      </c>
      <c r="B380" s="30" t="inlineStr">
        <is>
          <t>I</t>
        </is>
      </c>
      <c r="C380" s="30" t="inlineStr">
        <is>
          <t>II</t>
        </is>
      </c>
      <c r="D380" s="30" t="inlineStr">
        <is>
          <t>III</t>
        </is>
      </c>
      <c r="E380" s="30" t="inlineStr">
        <is>
          <t>IV</t>
        </is>
      </c>
      <c r="F380" s="30" t="inlineStr">
        <is>
          <t>V</t>
        </is>
      </c>
      <c r="G380" s="30" t="inlineStr">
        <is>
          <t>VI</t>
        </is>
      </c>
      <c r="H380" s="30" t="inlineStr">
        <is>
          <t>VII</t>
        </is>
      </c>
    </row>
    <row r="381">
      <c r="A381" t="inlineStr">
        <is>
          <t>BB1</t>
        </is>
      </c>
      <c r="B381" s="141" t="inlineStr">
        <is>
          <t xml:space="preserve">Aralıq yekun </t>
        </is>
      </c>
      <c r="C381" s="19" t="n">
        <v>0</v>
      </c>
      <c r="D381" s="141" t="inlineStr">
        <is>
          <t>X</t>
        </is>
      </c>
      <c r="E381" s="141" t="inlineStr">
        <is>
          <t>X</t>
        </is>
      </c>
      <c r="F381" s="19" t="n">
        <v>0</v>
      </c>
      <c r="G381" s="141" t="inlineStr">
        <is>
          <t>X</t>
        </is>
      </c>
      <c r="H381" s="19" t="n">
        <v>0</v>
      </c>
    </row>
    <row r="382">
      <c r="A382" t="inlineStr">
        <is>
          <t>ZZ1</t>
        </is>
      </c>
      <c r="B382" s="141" t="inlineStr">
        <is>
          <t>YEKUN QSHEB</t>
        </is>
      </c>
      <c r="C382" s="141" t="inlineStr">
        <is>
          <t>X</t>
        </is>
      </c>
      <c r="D382" s="141" t="inlineStr">
        <is>
          <t>X</t>
        </is>
      </c>
      <c r="E382" s="141" t="inlineStr">
        <is>
          <t>X</t>
        </is>
      </c>
      <c r="F382" s="222">
        <f>F378</f>
        <v/>
      </c>
      <c r="G382" s="141" t="inlineStr">
        <is>
          <t>X</t>
        </is>
      </c>
      <c r="H382" s="222">
        <f>H378</f>
        <v/>
      </c>
    </row>
    <row r="383">
      <c r="B383" s="180" t="inlineStr">
        <is>
          <t>QEYD: II sütunda «Sığorta ehtiyatlarının formalaşdırılması Qaydaları»na 3 saylı Əlavədəki Forma № 8-1-in IV sütunu üzrə alınan məbləğlər göstərilir. 2. "Yekun" sətiri üzrə V sütunda həmin sütun üzrə əvvəlki sətirlərdəki "Aralıq yekun"ların cəmi göstərilir.</t>
        </is>
      </c>
    </row>
    <row r="384">
      <c r="B384" s="178" t="n"/>
      <c r="F384" s="27" t="n"/>
    </row>
    <row r="385">
      <c r="B385" s="173" t="n"/>
      <c r="F385" s="27" t="n"/>
    </row>
    <row r="386">
      <c r="B386" s="172" t="inlineStr">
        <is>
          <t>İdarə heyətinin sədri ____________________________       _____________</t>
        </is>
      </c>
      <c r="F386" s="27" t="n"/>
    </row>
    <row r="387">
      <c r="B387" s="173" t="inlineStr">
        <is>
          <t xml:space="preserve">                                     (s.a.a)                                     (imza)</t>
        </is>
      </c>
      <c r="F387" s="27" t="n"/>
    </row>
    <row r="388">
      <c r="B388" s="172" t="inlineStr">
        <is>
          <t>Baş mühasib _______________________       _____________</t>
        </is>
      </c>
      <c r="F388" s="27" t="n"/>
    </row>
    <row r="389">
      <c r="B389" s="173" t="inlineStr">
        <is>
          <t xml:space="preserve">                                    (s.a.a)                                      (imza)</t>
        </is>
      </c>
      <c r="F389" s="27" t="n"/>
    </row>
    <row r="390">
      <c r="B390" s="27" t="n"/>
      <c r="C390" s="27" t="n"/>
      <c r="D390" s="27" t="n"/>
      <c r="E390" s="26" t="inlineStr">
        <is>
          <t>M.Y.</t>
        </is>
      </c>
      <c r="F390" s="27" t="n"/>
    </row>
    <row r="391">
      <c r="B391" s="130" t="n"/>
      <c r="C391" s="130" t="n"/>
      <c r="D391" s="130" t="n"/>
      <c r="E391" s="130" t="n"/>
      <c r="F391" s="130" t="n"/>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I87"/>
  <sheetViews>
    <sheetView zoomScale="72" workbookViewId="0">
      <selection activeCell="A6" sqref="A6:XFD6"/>
    </sheetView>
  </sheetViews>
  <sheetFormatPr baseColWidth="8" defaultRowHeight="14.4"/>
  <cols>
    <col width="8.88671875" customWidth="1" style="132" min="1" max="1"/>
    <col width="34.21875" customWidth="1" style="132" min="2" max="3"/>
    <col width="25.5546875" customWidth="1" style="132" min="4" max="4"/>
    <col width="24.5546875" customWidth="1" style="132" min="5" max="5"/>
    <col width="21.6640625" customWidth="1" style="132" min="6" max="6"/>
    <col width="21.6640625" customWidth="1" style="132" min="7" max="10"/>
    <col width="8.88671875" customWidth="1" style="132" min="11" max="16384"/>
  </cols>
  <sheetData>
    <row r="1" ht="41.4" customHeight="1" s="132">
      <c r="B1" s="175" t="n"/>
      <c r="C1" s="175" t="n"/>
      <c r="D1" s="32" t="n"/>
      <c r="E1" s="174" t="inlineStr">
        <is>
          <t>«Həyat sığortası və qeyri-həyat sığortası
üzrə sığorta ehtiyatlarının formalaşdırılması
Qaydaları»na Əlavə № 3</t>
        </is>
      </c>
    </row>
    <row r="2" ht="18" customHeight="1" s="132">
      <c r="B2" s="189" t="inlineStr">
        <is>
          <t>Forma № 8-4</t>
        </is>
      </c>
      <c r="C2" s="189" t="n"/>
      <c r="D2" s="32" t="n"/>
      <c r="E2" s="200" t="n"/>
      <c r="F2" s="130" t="n"/>
    </row>
    <row r="3" ht="17.4" customHeight="1" s="132">
      <c r="B3" s="175" t="inlineStr">
        <is>
          <t>Baza təkrarsığorta haqqı</t>
        </is>
      </c>
    </row>
    <row r="4" ht="17.4" customHeight="1" s="132">
      <c r="B4" s="176" t="inlineStr">
        <is>
          <t>Ateshgah</t>
        </is>
      </c>
    </row>
    <row r="5" ht="15.6" customHeight="1" s="132">
      <c r="B5" s="177" t="inlineStr">
        <is>
          <t xml:space="preserve">    (sığortaçının (təkrarsığortaçının)  adı)</t>
        </is>
      </c>
    </row>
    <row r="6" ht="17.4" customHeight="1" s="132">
      <c r="B6" s="11" t="n"/>
      <c r="D6" s="12" t="inlineStr">
        <is>
          <t>01.01.2026</t>
        </is>
      </c>
      <c r="E6" s="11" t="inlineStr">
        <is>
          <t xml:space="preserve"> -cı il  tarixə</t>
        </is>
      </c>
      <c r="F6" s="11" t="n"/>
    </row>
    <row r="7" ht="17.4" customHeight="1" s="132">
      <c r="B7" s="13" t="n"/>
      <c r="C7" s="13" t="n"/>
      <c r="D7" s="13" t="n"/>
      <c r="E7" s="13" t="n"/>
      <c r="F7" s="13" t="n"/>
    </row>
    <row r="8" ht="18" customHeight="1" s="132">
      <c r="B8" s="14" t="inlineStr">
        <is>
          <t>Sığortanın sinifi ____________________________</t>
        </is>
      </c>
      <c r="C8" s="219" t="inlineStr">
        <is>
          <t>(21)UmumiMulkiMesuliyy</t>
        </is>
      </c>
      <c r="E8" s="13" t="n"/>
      <c r="F8" s="13" t="n"/>
    </row>
    <row r="9" ht="138.6" customHeight="1" s="132">
      <c r="B9" s="18" t="inlineStr">
        <is>
          <t>Təkrarsığorta müqavilələri (təkrarsığortaya verilmiş risklər üzrə)</t>
        </is>
      </c>
      <c r="C9" s="18" t="inlineStr">
        <is>
          <t>Təkrarsığorta müqaviləsinin bağlandığı tarix</t>
        </is>
      </c>
      <c r="D9" s="18" t="inlineStr">
        <is>
          <t>Hesablanmış təkrarsığorta haqqı</t>
        </is>
      </c>
      <c r="E9" s="18" t="inlineStr">
        <is>
          <t>Komisyon muzdu</t>
        </is>
      </c>
      <c r="F9" s="18" t="inlineStr">
        <is>
          <t>Baza təkrarsığorta haqqı (süt.2-süt.3)</t>
        </is>
      </c>
      <c r="G9" s="18" t="inlineStr">
        <is>
          <t>Hesablanmış təkrarsığorta haqqının katastrofik risk təminatına düşən hissəsi</t>
        </is>
      </c>
      <c r="H9" s="18" t="inlineStr">
        <is>
          <t>Katastrofik risk təminatı üzrə komisyon muzd</t>
        </is>
      </c>
      <c r="I9" s="18" t="inlineStr">
        <is>
          <t>Baza təkrarsığorta haqqının katastrofik risk təminatına düşən hissəsi
(VI-VII)</t>
        </is>
      </c>
    </row>
    <row r="10" ht="17.4" customHeight="1" s="132">
      <c r="B10" s="33" t="inlineStr">
        <is>
          <t>I</t>
        </is>
      </c>
      <c r="C10" s="33" t="inlineStr">
        <is>
          <t>II</t>
        </is>
      </c>
      <c r="D10" s="33" t="inlineStr">
        <is>
          <t>III</t>
        </is>
      </c>
      <c r="E10" s="33" t="inlineStr">
        <is>
          <t>IV</t>
        </is>
      </c>
      <c r="F10" s="33" t="inlineStr">
        <is>
          <t>V</t>
        </is>
      </c>
      <c r="G10" s="33" t="inlineStr">
        <is>
          <t>VI</t>
        </is>
      </c>
      <c r="H10" s="33" t="inlineStr">
        <is>
          <t>VII</t>
        </is>
      </c>
      <c r="I10" s="33" t="inlineStr">
        <is>
          <t>VII</t>
        </is>
      </c>
    </row>
    <row r="11" ht="17.4" customHeight="1" s="132">
      <c r="A11" t="inlineStr">
        <is>
          <t>A</t>
        </is>
      </c>
      <c r="B11" s="183" t="inlineStr">
        <is>
          <t>I qrup təkrarsığortaçılar</t>
        </is>
      </c>
    </row>
    <row r="12" ht="28" customHeight="1" s="132">
      <c r="A12" s="220" t="inlineStr">
        <is>
          <t>A1</t>
        </is>
      </c>
      <c r="B12" s="220" t="inlineStr">
        <is>
          <t>LCC-2403820/RI072</t>
        </is>
      </c>
      <c r="C12" s="237" t="n">
        <v>45519</v>
      </c>
      <c r="D12" s="220" t="n">
        <v>4923.72</v>
      </c>
      <c r="E12" s="220" t="n">
        <v>1320.63</v>
      </c>
      <c r="F12" s="220" t="n">
        <v>3603.09</v>
      </c>
      <c r="G12" s="220" t="n">
        <v>0</v>
      </c>
      <c r="H12" s="220" t="n">
        <v>0</v>
      </c>
      <c r="I12" s="220" t="n">
        <v>0</v>
      </c>
    </row>
    <row r="13" ht="28" customHeight="1" s="132">
      <c r="A13" s="220" t="inlineStr">
        <is>
          <t>A2</t>
        </is>
      </c>
      <c r="B13" s="220" t="inlineStr">
        <is>
          <t>LCC-2403883/RI105</t>
        </is>
      </c>
      <c r="C13" s="237" t="n">
        <v>45582</v>
      </c>
      <c r="D13" s="220" t="n">
        <v>2313.75</v>
      </c>
      <c r="E13" s="220" t="n">
        <v>1276.91</v>
      </c>
      <c r="F13" s="220" t="n">
        <v>1036.84</v>
      </c>
      <c r="G13" s="220" t="n">
        <v>0</v>
      </c>
      <c r="H13" s="220" t="n">
        <v>0</v>
      </c>
      <c r="I13" s="220" t="n">
        <v>0</v>
      </c>
    </row>
    <row r="14" ht="28" customHeight="1" s="132">
      <c r="A14" s="220" t="inlineStr">
        <is>
          <t>A3</t>
        </is>
      </c>
      <c r="B14" s="220" t="inlineStr">
        <is>
          <t>LCC-2403909/RI117</t>
        </is>
      </c>
      <c r="C14" s="237" t="n">
        <v>45611</v>
      </c>
      <c r="D14" s="220" t="n">
        <v>19560.2</v>
      </c>
      <c r="E14" s="220" t="n">
        <v>1603.93</v>
      </c>
      <c r="F14" s="220" t="n">
        <v>17956.27</v>
      </c>
      <c r="G14" s="220" t="n">
        <v>0</v>
      </c>
      <c r="H14" s="220" t="n">
        <v>0</v>
      </c>
      <c r="I14" s="220" t="n">
        <v>0</v>
      </c>
    </row>
    <row r="15" ht="28" customHeight="1" s="132">
      <c r="A15" s="220" t="inlineStr">
        <is>
          <t>A4</t>
        </is>
      </c>
      <c r="B15" s="220" t="inlineStr">
        <is>
          <t>LCC-2403910/RI118</t>
        </is>
      </c>
      <c r="C15" s="237" t="n">
        <v>45611</v>
      </c>
      <c r="D15" s="220" t="n">
        <v>37451</v>
      </c>
      <c r="E15" s="220" t="n">
        <v>3070.98</v>
      </c>
      <c r="F15" s="220" t="n">
        <v>34380.02</v>
      </c>
      <c r="G15" s="220" t="n">
        <v>0</v>
      </c>
      <c r="H15" s="220" t="n">
        <v>0</v>
      </c>
      <c r="I15" s="220" t="n">
        <v>0</v>
      </c>
    </row>
    <row r="16" ht="28" customHeight="1" s="132">
      <c r="A16" s="220" t="inlineStr">
        <is>
          <t>A5</t>
        </is>
      </c>
      <c r="B16" s="220" t="inlineStr">
        <is>
          <t>LCC-2403927/RI131</t>
        </is>
      </c>
      <c r="C16" s="237" t="n">
        <v>45622</v>
      </c>
      <c r="D16" s="220" t="n">
        <v>3920.37</v>
      </c>
      <c r="E16" s="220" t="n">
        <v>0</v>
      </c>
      <c r="F16" s="220" t="n">
        <v>3920.37</v>
      </c>
      <c r="G16" s="220" t="n">
        <v>0</v>
      </c>
      <c r="H16" s="220" t="n">
        <v>0</v>
      </c>
      <c r="I16" s="220" t="n">
        <v>0</v>
      </c>
    </row>
    <row r="17" ht="28" customHeight="1" s="132">
      <c r="A17" s="220" t="inlineStr">
        <is>
          <t>A6</t>
        </is>
      </c>
      <c r="B17" s="220" t="inlineStr">
        <is>
          <t>LCC-2403927/RI131</t>
        </is>
      </c>
      <c r="C17" s="237" t="n">
        <v>45622</v>
      </c>
      <c r="D17" s="220" t="n">
        <v>4550.39</v>
      </c>
      <c r="E17" s="220" t="n">
        <v>0</v>
      </c>
      <c r="F17" s="220" t="n">
        <v>4550.39</v>
      </c>
      <c r="G17" s="220" t="n">
        <v>0</v>
      </c>
      <c r="H17" s="220" t="n">
        <v>0</v>
      </c>
      <c r="I17" s="220" t="n">
        <v>0</v>
      </c>
    </row>
    <row r="18" ht="28" customHeight="1" s="132">
      <c r="A18" s="220" t="inlineStr">
        <is>
          <t>A7</t>
        </is>
      </c>
      <c r="B18" s="220" t="inlineStr">
        <is>
          <t>LCC-2403928/RI132</t>
        </is>
      </c>
      <c r="C18" s="237" t="n">
        <v>45622</v>
      </c>
      <c r="D18" s="220" t="n">
        <v>2730.23</v>
      </c>
      <c r="E18" s="220" t="n">
        <v>0</v>
      </c>
      <c r="F18" s="220" t="n">
        <v>2730.23</v>
      </c>
      <c r="G18" s="220" t="n">
        <v>0</v>
      </c>
      <c r="H18" s="220" t="n">
        <v>0</v>
      </c>
      <c r="I18" s="220" t="n">
        <v>0</v>
      </c>
    </row>
    <row r="19" ht="28" customHeight="1" s="132">
      <c r="A19" s="220" t="inlineStr">
        <is>
          <t>A8</t>
        </is>
      </c>
      <c r="B19" s="220" t="inlineStr">
        <is>
          <t>LCC-2403928/RI132</t>
        </is>
      </c>
      <c r="C19" s="237" t="n">
        <v>45622</v>
      </c>
      <c r="D19" s="220" t="n">
        <v>3150.27</v>
      </c>
      <c r="E19" s="220" t="n">
        <v>0</v>
      </c>
      <c r="F19" s="220" t="n">
        <v>3150.27</v>
      </c>
      <c r="G19" s="220" t="n">
        <v>0</v>
      </c>
      <c r="H19" s="220" t="n">
        <v>0</v>
      </c>
      <c r="I19" s="220" t="n">
        <v>0</v>
      </c>
    </row>
    <row r="20" ht="28" customHeight="1" s="132">
      <c r="A20" s="220" t="inlineStr">
        <is>
          <t>A9</t>
        </is>
      </c>
      <c r="B20" s="220" t="inlineStr">
        <is>
          <t>LCC-2403933/RI133</t>
        </is>
      </c>
      <c r="C20" s="237" t="n">
        <v>45623</v>
      </c>
      <c r="D20" s="220" t="n">
        <v>5100</v>
      </c>
      <c r="E20" s="220" t="n">
        <v>1310.7</v>
      </c>
      <c r="F20" s="220" t="n">
        <v>3789.3</v>
      </c>
      <c r="G20" s="220" t="n">
        <v>0</v>
      </c>
      <c r="H20" s="220" t="n">
        <v>0</v>
      </c>
      <c r="I20" s="220" t="n">
        <v>0</v>
      </c>
    </row>
    <row r="21" ht="28" customHeight="1" s="132">
      <c r="A21" s="220" t="inlineStr">
        <is>
          <t>A10</t>
        </is>
      </c>
      <c r="B21" s="220" t="inlineStr">
        <is>
          <t>LCC-2403937/RI135</t>
        </is>
      </c>
      <c r="C21" s="237" t="n">
        <v>45624</v>
      </c>
      <c r="D21" s="220" t="n">
        <v>2934.2</v>
      </c>
      <c r="E21" s="220" t="n">
        <v>1588.96</v>
      </c>
      <c r="F21" s="220" t="n">
        <v>1345.24</v>
      </c>
      <c r="G21" s="220" t="n">
        <v>0</v>
      </c>
      <c r="H21" s="220" t="n">
        <v>0</v>
      </c>
      <c r="I21" s="220" t="n">
        <v>0</v>
      </c>
    </row>
    <row r="22" ht="28" customHeight="1" s="132">
      <c r="A22" s="220" t="inlineStr">
        <is>
          <t>A11</t>
        </is>
      </c>
      <c r="B22" s="220" t="inlineStr">
        <is>
          <t>LCC-2403916/RI134</t>
        </is>
      </c>
      <c r="C22" s="237" t="n">
        <v>45624</v>
      </c>
      <c r="D22" s="220" t="n">
        <v>16209.5</v>
      </c>
      <c r="E22" s="220" t="n">
        <v>3009.43</v>
      </c>
      <c r="F22" s="220" t="n">
        <v>13200.07</v>
      </c>
      <c r="G22" s="220" t="n">
        <v>0</v>
      </c>
      <c r="H22" s="220" t="n">
        <v>0</v>
      </c>
      <c r="I22" s="220" t="n">
        <v>0</v>
      </c>
    </row>
    <row r="23" ht="28" customHeight="1" s="132">
      <c r="A23" s="220" t="inlineStr">
        <is>
          <t>A12</t>
        </is>
      </c>
      <c r="B23" s="220" t="inlineStr">
        <is>
          <t>LCC-2403954/RI140</t>
        </is>
      </c>
      <c r="C23" s="237" t="n">
        <v>45651</v>
      </c>
      <c r="D23" s="220" t="n">
        <v>68000</v>
      </c>
      <c r="E23" s="220" t="n">
        <v>0</v>
      </c>
      <c r="F23" s="220" t="n">
        <v>68000</v>
      </c>
      <c r="G23" s="220" t="n">
        <v>0</v>
      </c>
      <c r="H23" s="220" t="n">
        <v>0</v>
      </c>
      <c r="I23" s="220" t="n">
        <v>0</v>
      </c>
    </row>
    <row r="24" ht="28" customHeight="1" s="132">
      <c r="A24" s="220" t="inlineStr">
        <is>
          <t>A13</t>
        </is>
      </c>
      <c r="B24" s="220" t="inlineStr">
        <is>
          <t>LCC-2403941/RI141</t>
        </is>
      </c>
      <c r="C24" s="237" t="n">
        <v>45651</v>
      </c>
      <c r="D24" s="220" t="n">
        <v>2550</v>
      </c>
      <c r="E24" s="220" t="n">
        <v>1675.35</v>
      </c>
      <c r="F24" s="220" t="n">
        <v>874.65</v>
      </c>
      <c r="G24" s="220" t="n">
        <v>0</v>
      </c>
      <c r="H24" s="220" t="n">
        <v>0</v>
      </c>
      <c r="I24" s="220" t="n">
        <v>0</v>
      </c>
    </row>
    <row r="25" ht="28" customHeight="1" s="132">
      <c r="A25" s="220" t="inlineStr">
        <is>
          <t>A14</t>
        </is>
      </c>
      <c r="B25" s="220" t="inlineStr">
        <is>
          <t>LCC-2403961/RI144</t>
        </is>
      </c>
      <c r="C25" s="237" t="n">
        <v>45653</v>
      </c>
      <c r="D25" s="220" t="n">
        <v>8500</v>
      </c>
      <c r="E25" s="220" t="n">
        <v>1334.5</v>
      </c>
      <c r="F25" s="220" t="n">
        <v>7165.5</v>
      </c>
      <c r="G25" s="220" t="n">
        <v>0</v>
      </c>
      <c r="H25" s="220" t="n">
        <v>0</v>
      </c>
      <c r="I25" s="220" t="n">
        <v>0</v>
      </c>
    </row>
    <row r="26" ht="28" customHeight="1" s="132">
      <c r="A26" s="220" t="inlineStr">
        <is>
          <t>A15</t>
        </is>
      </c>
      <c r="B26" s="220" t="inlineStr">
        <is>
          <t>LCC-2403962/RI145</t>
        </is>
      </c>
      <c r="C26" s="237" t="n">
        <v>45653</v>
      </c>
      <c r="D26" s="220" t="n">
        <v>4250</v>
      </c>
      <c r="E26" s="220" t="n">
        <v>1304.75</v>
      </c>
      <c r="F26" s="220" t="n">
        <v>2945.25</v>
      </c>
      <c r="G26" s="220" t="n">
        <v>0</v>
      </c>
      <c r="H26" s="220" t="n">
        <v>0</v>
      </c>
      <c r="I26" s="220" t="n">
        <v>0</v>
      </c>
    </row>
    <row r="27" ht="28" customHeight="1" s="132">
      <c r="A27" s="220" t="inlineStr">
        <is>
          <t>A16</t>
        </is>
      </c>
      <c r="B27" s="220" t="inlineStr">
        <is>
          <t>LCC-2503967/RI003</t>
        </is>
      </c>
      <c r="C27" s="237" t="n">
        <v>45667</v>
      </c>
      <c r="D27" s="220" t="n">
        <v>2625.3</v>
      </c>
      <c r="E27" s="220" t="n">
        <v>1268.9</v>
      </c>
      <c r="F27" s="220" t="n">
        <v>1356.4</v>
      </c>
      <c r="G27" s="220" t="n">
        <v>0</v>
      </c>
      <c r="H27" s="220" t="n">
        <v>0</v>
      </c>
      <c r="I27" s="220" t="n">
        <v>0</v>
      </c>
    </row>
    <row r="28" ht="28" customHeight="1" s="132">
      <c r="A28" s="220" t="inlineStr">
        <is>
          <t>A17</t>
        </is>
      </c>
      <c r="B28" s="220" t="inlineStr">
        <is>
          <t>LCC-2503970/RI004</t>
        </is>
      </c>
      <c r="C28" s="237" t="n">
        <v>45672</v>
      </c>
      <c r="D28" s="220" t="n">
        <v>19339.61</v>
      </c>
      <c r="E28" s="220" t="n">
        <v>2359.44</v>
      </c>
      <c r="F28" s="220" t="n">
        <v>16980.17</v>
      </c>
      <c r="G28" s="220" t="n">
        <v>0</v>
      </c>
      <c r="H28" s="220" t="n">
        <v>0</v>
      </c>
      <c r="I28" s="220" t="n">
        <v>0</v>
      </c>
    </row>
    <row r="29" ht="28" customHeight="1" s="132">
      <c r="A29" s="220" t="inlineStr">
        <is>
          <t>A18</t>
        </is>
      </c>
      <c r="B29" s="220" t="inlineStr">
        <is>
          <t>LCC-2504037/RI008</t>
        </is>
      </c>
      <c r="C29" s="237" t="n">
        <v>45687</v>
      </c>
      <c r="D29" s="220" t="n">
        <v>37088.9</v>
      </c>
      <c r="E29" s="220" t="n">
        <v>3041.28</v>
      </c>
      <c r="F29" s="220" t="n">
        <v>34047.62</v>
      </c>
      <c r="G29" s="220" t="n">
        <v>0</v>
      </c>
      <c r="H29" s="220" t="n">
        <v>0</v>
      </c>
      <c r="I29" s="220" t="n">
        <v>0</v>
      </c>
    </row>
    <row r="30" ht="28" customHeight="1" s="132">
      <c r="A30" s="220" t="inlineStr">
        <is>
          <t>A19</t>
        </is>
      </c>
      <c r="B30" s="220" t="inlineStr">
        <is>
          <t>LCC-2504038/RI011</t>
        </is>
      </c>
      <c r="C30" s="237" t="n">
        <v>45691</v>
      </c>
      <c r="D30" s="220" t="n">
        <v>4250</v>
      </c>
      <c r="E30" s="220" t="n">
        <v>1304.75</v>
      </c>
      <c r="F30" s="220" t="n">
        <v>2945.25</v>
      </c>
      <c r="G30" s="220" t="n">
        <v>0</v>
      </c>
      <c r="H30" s="220" t="n">
        <v>0</v>
      </c>
      <c r="I30" s="220" t="n">
        <v>0</v>
      </c>
    </row>
    <row r="31" ht="28" customHeight="1" s="132">
      <c r="A31" s="220" t="inlineStr">
        <is>
          <t>A20</t>
        </is>
      </c>
      <c r="B31" s="220" t="inlineStr">
        <is>
          <t>LCC-2504089/RI017</t>
        </is>
      </c>
      <c r="C31" s="237" t="n">
        <v>45722</v>
      </c>
      <c r="D31" s="220" t="n">
        <v>5039.65</v>
      </c>
      <c r="E31" s="220" t="n">
        <v>0</v>
      </c>
      <c r="F31" s="220" t="n">
        <v>5039.65</v>
      </c>
      <c r="G31" s="220" t="n">
        <v>0</v>
      </c>
      <c r="H31" s="220" t="n">
        <v>0</v>
      </c>
      <c r="I31" s="220" t="n">
        <v>0</v>
      </c>
    </row>
    <row r="32" ht="28" customHeight="1" s="132">
      <c r="A32" s="220" t="inlineStr">
        <is>
          <t>A21</t>
        </is>
      </c>
      <c r="B32" s="220" t="inlineStr">
        <is>
          <t>LCC-2504096/RI030</t>
        </is>
      </c>
      <c r="C32" s="237" t="n">
        <v>45735</v>
      </c>
      <c r="D32" s="220" t="n">
        <v>5000</v>
      </c>
      <c r="E32" s="220" t="n">
        <v>0</v>
      </c>
      <c r="F32" s="220" t="n">
        <v>5000</v>
      </c>
      <c r="G32" s="220" t="n">
        <v>0</v>
      </c>
      <c r="H32" s="220" t="n">
        <v>0</v>
      </c>
      <c r="I32" s="220" t="n">
        <v>0</v>
      </c>
    </row>
    <row r="33" ht="28" customHeight="1" s="132">
      <c r="A33" s="220" t="inlineStr">
        <is>
          <t>A22</t>
        </is>
      </c>
      <c r="B33" s="220" t="inlineStr">
        <is>
          <t xml:space="preserve">001/PL/2025 </t>
        </is>
      </c>
      <c r="C33" s="237" t="n">
        <v>45735</v>
      </c>
      <c r="D33" s="220" t="n">
        <v>8287.5</v>
      </c>
      <c r="E33" s="220" t="n">
        <v>0</v>
      </c>
      <c r="F33" s="220" t="n">
        <v>8287.5</v>
      </c>
      <c r="G33" s="220" t="n">
        <v>0</v>
      </c>
      <c r="H33" s="220" t="n">
        <v>0</v>
      </c>
      <c r="I33" s="220" t="n">
        <v>0</v>
      </c>
    </row>
    <row r="34" ht="28" customHeight="1" s="132">
      <c r="A34" s="220" t="inlineStr">
        <is>
          <t>A23</t>
        </is>
      </c>
      <c r="B34" s="220" t="inlineStr">
        <is>
          <t>LCC-2504109/RI029</t>
        </is>
      </c>
      <c r="C34" s="237" t="n">
        <v>45735</v>
      </c>
      <c r="D34" s="220" t="n">
        <v>2787.3</v>
      </c>
      <c r="E34" s="220" t="n">
        <v>1383.32</v>
      </c>
      <c r="F34" s="220" t="n">
        <v>1403.98</v>
      </c>
      <c r="G34" s="220" t="n">
        <v>0</v>
      </c>
      <c r="H34" s="220" t="n">
        <v>0</v>
      </c>
      <c r="I34" s="220" t="n">
        <v>0</v>
      </c>
    </row>
    <row r="35" ht="28" customHeight="1" s="132">
      <c r="A35" s="220" t="inlineStr">
        <is>
          <t>A24</t>
        </is>
      </c>
      <c r="B35" s="220" t="inlineStr">
        <is>
          <t>LCC-2504123/RI035</t>
        </is>
      </c>
      <c r="C35" s="237" t="n">
        <v>45751</v>
      </c>
      <c r="D35" s="220" t="n">
        <v>3910</v>
      </c>
      <c r="E35" s="220" t="n">
        <v>1302.37</v>
      </c>
      <c r="F35" s="220" t="n">
        <v>2607.63</v>
      </c>
      <c r="G35" s="220" t="n">
        <v>0</v>
      </c>
      <c r="H35" s="220" t="n">
        <v>0</v>
      </c>
      <c r="I35" s="220" t="n">
        <v>0</v>
      </c>
    </row>
    <row r="36" ht="28" customHeight="1" s="132">
      <c r="A36" s="220" t="inlineStr">
        <is>
          <t>A25</t>
        </is>
      </c>
      <c r="B36" s="220" t="inlineStr">
        <is>
          <t>LCC-2504118/RI034</t>
        </is>
      </c>
      <c r="C36" s="237" t="n">
        <v>45751</v>
      </c>
      <c r="D36" s="220" t="n">
        <v>8500</v>
      </c>
      <c r="E36" s="220" t="n">
        <v>0</v>
      </c>
      <c r="F36" s="220" t="n">
        <v>8500</v>
      </c>
      <c r="G36" s="220" t="n">
        <v>0</v>
      </c>
      <c r="H36" s="220" t="n">
        <v>0</v>
      </c>
      <c r="I36" s="220" t="n">
        <v>0</v>
      </c>
    </row>
    <row r="37" ht="28" customHeight="1" s="132">
      <c r="A37" s="220" t="inlineStr">
        <is>
          <t>A26</t>
        </is>
      </c>
      <c r="B37" s="220" t="inlineStr">
        <is>
          <t>LCC-2503970/RI004-01</t>
        </is>
      </c>
      <c r="C37" s="237" t="n">
        <v>45800</v>
      </c>
      <c r="D37" s="220" t="n">
        <v>9303.02</v>
      </c>
      <c r="E37" s="220" t="n">
        <v>1134.97</v>
      </c>
      <c r="F37" s="220" t="n">
        <v>8168.05</v>
      </c>
      <c r="G37" s="220" t="n">
        <v>0</v>
      </c>
      <c r="H37" s="220" t="n">
        <v>0</v>
      </c>
      <c r="I37" s="220" t="n">
        <v>0</v>
      </c>
    </row>
    <row r="38" ht="28" customHeight="1" s="132">
      <c r="A38" s="220" t="inlineStr">
        <is>
          <t>A27</t>
        </is>
      </c>
      <c r="B38" s="220" t="inlineStr">
        <is>
          <t>LCC-2504223/RI053</t>
        </is>
      </c>
      <c r="C38" s="237" t="n">
        <v>45825</v>
      </c>
      <c r="D38" s="220" t="n">
        <v>4250</v>
      </c>
      <c r="E38" s="220" t="n">
        <v>1942.25</v>
      </c>
      <c r="F38" s="220" t="n">
        <v>2307.75</v>
      </c>
      <c r="G38" s="220" t="n">
        <v>0</v>
      </c>
      <c r="H38" s="220" t="n">
        <v>0</v>
      </c>
      <c r="I38" s="220" t="n">
        <v>0</v>
      </c>
    </row>
    <row r="39" ht="28" customHeight="1" s="132">
      <c r="A39" s="220" t="inlineStr">
        <is>
          <t>A28</t>
        </is>
      </c>
      <c r="B39" s="220" t="inlineStr">
        <is>
          <t>PI 994/25</t>
        </is>
      </c>
      <c r="C39" s="237" t="n">
        <v>45826</v>
      </c>
      <c r="D39" s="220" t="n">
        <v>37400</v>
      </c>
      <c r="E39" s="220" t="n">
        <v>1870</v>
      </c>
      <c r="F39" s="220" t="n">
        <v>35530</v>
      </c>
      <c r="G39" s="220" t="n">
        <v>0</v>
      </c>
      <c r="H39" s="220" t="n">
        <v>0</v>
      </c>
      <c r="I39" s="220" t="n">
        <v>0</v>
      </c>
    </row>
    <row r="40" ht="28" customHeight="1" s="132">
      <c r="A40" s="220" t="inlineStr">
        <is>
          <t>A29</t>
        </is>
      </c>
      <c r="B40" s="220" t="inlineStr">
        <is>
          <t>GL EL 988/25</t>
        </is>
      </c>
      <c r="C40" s="237" t="n">
        <v>45826</v>
      </c>
      <c r="D40" s="220" t="n">
        <v>40800</v>
      </c>
      <c r="E40" s="220" t="n">
        <v>2040</v>
      </c>
      <c r="F40" s="220" t="n">
        <v>38760</v>
      </c>
      <c r="G40" s="220" t="n">
        <v>0</v>
      </c>
      <c r="H40" s="220" t="n">
        <v>0</v>
      </c>
      <c r="I40" s="220" t="n">
        <v>0</v>
      </c>
    </row>
    <row r="41" ht="28" customHeight="1" s="132">
      <c r="A41" s="220" t="inlineStr">
        <is>
          <t>A30</t>
        </is>
      </c>
      <c r="B41" s="220" t="inlineStr">
        <is>
          <t>GL EL 988/25</t>
        </is>
      </c>
      <c r="C41" s="237" t="n">
        <v>45826</v>
      </c>
      <c r="D41" s="220" t="n">
        <v>28900</v>
      </c>
      <c r="E41" s="220" t="n">
        <v>1445</v>
      </c>
      <c r="F41" s="220" t="n">
        <v>27455</v>
      </c>
      <c r="G41" s="220" t="n">
        <v>0</v>
      </c>
      <c r="H41" s="220" t="n">
        <v>0</v>
      </c>
      <c r="I41" s="220" t="n">
        <v>0</v>
      </c>
    </row>
    <row r="42" ht="28" customHeight="1" s="132">
      <c r="A42" s="220" t="inlineStr">
        <is>
          <t>A31</t>
        </is>
      </c>
      <c r="B42" s="220" t="inlineStr">
        <is>
          <t>LOR-25001-PS</t>
        </is>
      </c>
      <c r="C42" s="237" t="n">
        <v>45828</v>
      </c>
      <c r="D42" s="220" t="n">
        <v>2689.26</v>
      </c>
      <c r="E42" s="220" t="n">
        <v>0</v>
      </c>
      <c r="F42" s="220" t="n">
        <v>2689.26</v>
      </c>
      <c r="G42" s="220" t="n">
        <v>0</v>
      </c>
      <c r="H42" s="220" t="n">
        <v>0</v>
      </c>
      <c r="I42" s="220" t="n">
        <v>0</v>
      </c>
    </row>
    <row r="43" ht="28" customHeight="1" s="132">
      <c r="A43" s="220" t="inlineStr">
        <is>
          <t>A32</t>
        </is>
      </c>
      <c r="B43" s="220" t="inlineStr">
        <is>
          <t>LOR-25001-AR</t>
        </is>
      </c>
      <c r="C43" s="237" t="n">
        <v>45828</v>
      </c>
      <c r="D43" s="220" t="n">
        <v>3990</v>
      </c>
      <c r="E43" s="220" t="n">
        <v>0</v>
      </c>
      <c r="F43" s="220" t="n">
        <v>3990</v>
      </c>
      <c r="G43" s="220" t="n">
        <v>0</v>
      </c>
      <c r="H43" s="220" t="n">
        <v>0</v>
      </c>
      <c r="I43" s="220" t="n">
        <v>0</v>
      </c>
    </row>
    <row r="44" ht="28" customHeight="1" s="132">
      <c r="A44" s="220" t="inlineStr">
        <is>
          <t>A33</t>
        </is>
      </c>
      <c r="B44" s="220" t="inlineStr">
        <is>
          <t>LOR-25002-AR</t>
        </is>
      </c>
      <c r="C44" s="237" t="n">
        <v>45828</v>
      </c>
      <c r="D44" s="220" t="n">
        <v>3903.2</v>
      </c>
      <c r="E44" s="220" t="n">
        <v>0</v>
      </c>
      <c r="F44" s="220" t="n">
        <v>3903.2</v>
      </c>
      <c r="G44" s="220" t="n">
        <v>0</v>
      </c>
      <c r="H44" s="220" t="n">
        <v>0</v>
      </c>
      <c r="I44" s="220" t="n">
        <v>0</v>
      </c>
    </row>
    <row r="45" ht="28" customHeight="1" s="132">
      <c r="A45" s="220" t="inlineStr">
        <is>
          <t>A34</t>
        </is>
      </c>
      <c r="B45" s="220" t="inlineStr">
        <is>
          <t>01/002/PL/2025</t>
        </is>
      </c>
      <c r="C45" s="237" t="n">
        <v>45833</v>
      </c>
      <c r="D45" s="220" t="n">
        <v>9205.5</v>
      </c>
      <c r="E45" s="220" t="n">
        <v>0</v>
      </c>
      <c r="F45" s="220" t="n">
        <v>9205.5</v>
      </c>
      <c r="G45" s="220" t="n">
        <v>0</v>
      </c>
      <c r="H45" s="220" t="n">
        <v>0</v>
      </c>
      <c r="I45" s="220" t="n">
        <v>0</v>
      </c>
    </row>
    <row r="46" ht="28" customHeight="1" s="132">
      <c r="A46" s="220" t="inlineStr">
        <is>
          <t>A35</t>
        </is>
      </c>
      <c r="B46" s="220" t="inlineStr">
        <is>
          <t>LCC-2504233/RI054</t>
        </is>
      </c>
      <c r="C46" s="237" t="n">
        <v>45833</v>
      </c>
      <c r="D46" s="220" t="n">
        <v>6460</v>
      </c>
      <c r="E46" s="220" t="n">
        <v>0</v>
      </c>
      <c r="F46" s="220" t="n">
        <v>6460</v>
      </c>
      <c r="G46" s="220" t="n">
        <v>0</v>
      </c>
      <c r="H46" s="220" t="n">
        <v>0</v>
      </c>
      <c r="I46" s="220" t="n">
        <v>0</v>
      </c>
    </row>
    <row r="47" ht="28" customHeight="1" s="132">
      <c r="A47" s="220" t="inlineStr">
        <is>
          <t>A36</t>
        </is>
      </c>
      <c r="B47" s="220" t="inlineStr">
        <is>
          <t>CGL 992/25</t>
        </is>
      </c>
      <c r="C47" s="237" t="n">
        <v>45833</v>
      </c>
      <c r="D47" s="220" t="n">
        <v>64600</v>
      </c>
      <c r="E47" s="220" t="n">
        <v>3230</v>
      </c>
      <c r="F47" s="220" t="n">
        <v>61370</v>
      </c>
      <c r="G47" s="220" t="n">
        <v>0</v>
      </c>
      <c r="H47" s="220" t="n">
        <v>0</v>
      </c>
      <c r="I47" s="220" t="n">
        <v>0</v>
      </c>
    </row>
    <row r="48" ht="28" customHeight="1" s="132">
      <c r="A48" s="220" t="inlineStr">
        <is>
          <t>A37</t>
        </is>
      </c>
      <c r="B48" s="220" t="inlineStr">
        <is>
          <t>PI 993/25</t>
        </is>
      </c>
      <c r="C48" s="237" t="n">
        <v>45833</v>
      </c>
      <c r="D48" s="220" t="n">
        <v>59500</v>
      </c>
      <c r="E48" s="220" t="n">
        <v>2975</v>
      </c>
      <c r="F48" s="220" t="n">
        <v>56525</v>
      </c>
      <c r="G48" s="220" t="n">
        <v>0</v>
      </c>
      <c r="H48" s="220" t="n">
        <v>0</v>
      </c>
      <c r="I48" s="220" t="n">
        <v>0</v>
      </c>
    </row>
    <row r="49" ht="28" customHeight="1" s="132">
      <c r="A49" s="220" t="inlineStr">
        <is>
          <t>A38</t>
        </is>
      </c>
      <c r="B49" s="220" t="inlineStr">
        <is>
          <t>008/TL/2025</t>
        </is>
      </c>
      <c r="C49" s="237" t="n">
        <v>45868</v>
      </c>
      <c r="D49" s="220" t="n">
        <v>2720</v>
      </c>
      <c r="E49" s="220" t="n">
        <v>0</v>
      </c>
      <c r="F49" s="220" t="n">
        <v>2720</v>
      </c>
      <c r="G49" s="220" t="n">
        <v>0</v>
      </c>
      <c r="H49" s="220" t="n">
        <v>0</v>
      </c>
      <c r="I49" s="220" t="n">
        <v>0</v>
      </c>
    </row>
    <row r="50" ht="28" customHeight="1" s="132">
      <c r="A50" s="220" t="inlineStr">
        <is>
          <t>A39</t>
        </is>
      </c>
      <c r="B50" s="220" t="inlineStr">
        <is>
          <t>LCC- 2504275/RI070</t>
        </is>
      </c>
      <c r="C50" s="237" t="n">
        <v>45868</v>
      </c>
      <c r="D50" s="220" t="n">
        <v>10010.86</v>
      </c>
      <c r="E50" s="220" t="n">
        <v>0</v>
      </c>
      <c r="F50" s="220" t="n">
        <v>10010.86</v>
      </c>
      <c r="G50" s="220" t="n">
        <v>0</v>
      </c>
      <c r="H50" s="220" t="n">
        <v>0</v>
      </c>
      <c r="I50" s="220" t="n">
        <v>0</v>
      </c>
    </row>
    <row r="51" ht="28" customHeight="1" s="132">
      <c r="A51" s="220" t="inlineStr">
        <is>
          <t>A40</t>
        </is>
      </c>
      <c r="B51" s="220" t="inlineStr">
        <is>
          <t>LCC-2504257/RI063</t>
        </is>
      </c>
      <c r="C51" s="237" t="n">
        <v>45868</v>
      </c>
      <c r="D51" s="220" t="n">
        <v>6460</v>
      </c>
      <c r="E51" s="220" t="n">
        <v>0</v>
      </c>
      <c r="F51" s="220" t="n">
        <v>6460</v>
      </c>
      <c r="G51" s="220" t="n">
        <v>0</v>
      </c>
      <c r="H51" s="220" t="n">
        <v>0</v>
      </c>
      <c r="I51" s="220" t="n">
        <v>0</v>
      </c>
    </row>
    <row r="52" ht="28" customHeight="1" s="132">
      <c r="A52" s="220" t="inlineStr">
        <is>
          <t>A41</t>
        </is>
      </c>
      <c r="B52" s="220" t="inlineStr">
        <is>
          <t>LCC-2504265/RI067</t>
        </is>
      </c>
      <c r="C52" s="237" t="n">
        <v>45869</v>
      </c>
      <c r="D52" s="220" t="n">
        <v>3400</v>
      </c>
      <c r="E52" s="220" t="n">
        <v>0</v>
      </c>
      <c r="F52" s="220" t="n">
        <v>3400</v>
      </c>
      <c r="G52" s="220" t="n">
        <v>0</v>
      </c>
      <c r="H52" s="220" t="n">
        <v>0</v>
      </c>
      <c r="I52" s="220" t="n">
        <v>0</v>
      </c>
    </row>
    <row r="53" ht="28" customHeight="1" s="132">
      <c r="A53" s="220" t="inlineStr">
        <is>
          <t>A42</t>
        </is>
      </c>
      <c r="B53" s="220" t="inlineStr">
        <is>
          <t>LCC-2504259/RI064</t>
        </is>
      </c>
      <c r="C53" s="237" t="n">
        <v>45869</v>
      </c>
      <c r="D53" s="220" t="n">
        <v>35577.6</v>
      </c>
      <c r="E53" s="220" t="n">
        <v>2917.37</v>
      </c>
      <c r="F53" s="220" t="n">
        <v>32660.23</v>
      </c>
      <c r="G53" s="220" t="n">
        <v>0</v>
      </c>
      <c r="H53" s="220" t="n">
        <v>0</v>
      </c>
      <c r="I53" s="220" t="n">
        <v>0</v>
      </c>
    </row>
    <row r="54" ht="28" customHeight="1" s="132">
      <c r="A54" s="220" t="inlineStr">
        <is>
          <t>A43</t>
        </is>
      </c>
      <c r="B54" s="220" t="inlineStr">
        <is>
          <t>LCC-2504260/RI065</t>
        </is>
      </c>
      <c r="C54" s="237" t="n">
        <v>45869</v>
      </c>
      <c r="D54" s="220" t="n">
        <v>4250</v>
      </c>
      <c r="E54" s="220" t="n">
        <v>1304.75</v>
      </c>
      <c r="F54" s="220" t="n">
        <v>2945.25</v>
      </c>
      <c r="G54" s="220" t="n">
        <v>0</v>
      </c>
      <c r="H54" s="220" t="n">
        <v>0</v>
      </c>
      <c r="I54" s="220" t="n">
        <v>0</v>
      </c>
    </row>
    <row r="55" ht="28" customHeight="1" s="132">
      <c r="A55" s="220" t="inlineStr">
        <is>
          <t>A44</t>
        </is>
      </c>
      <c r="B55" s="220" t="inlineStr">
        <is>
          <t>LCC-2504273/RI074</t>
        </is>
      </c>
      <c r="C55" s="237" t="n">
        <v>45870</v>
      </c>
      <c r="D55" s="220" t="n">
        <v>12665.2</v>
      </c>
      <c r="E55" s="220" t="n">
        <v>0</v>
      </c>
      <c r="F55" s="220" t="n">
        <v>12665.2</v>
      </c>
      <c r="G55" s="220" t="n">
        <v>0</v>
      </c>
      <c r="H55" s="220" t="n">
        <v>0</v>
      </c>
      <c r="I55" s="220" t="n">
        <v>0</v>
      </c>
    </row>
    <row r="56" ht="28" customHeight="1" s="132">
      <c r="A56" s="220" t="inlineStr">
        <is>
          <t>A45</t>
        </is>
      </c>
      <c r="B56" s="220" t="inlineStr">
        <is>
          <t>LCC-2504272/RI073</t>
        </is>
      </c>
      <c r="C56" s="237" t="n">
        <v>45870</v>
      </c>
      <c r="D56" s="220" t="n">
        <v>17558.62</v>
      </c>
      <c r="E56" s="220" t="n">
        <v>0</v>
      </c>
      <c r="F56" s="220" t="n">
        <v>17558.62</v>
      </c>
      <c r="G56" s="220" t="n">
        <v>0</v>
      </c>
      <c r="H56" s="220" t="n">
        <v>0</v>
      </c>
      <c r="I56" s="220" t="n">
        <v>0</v>
      </c>
    </row>
    <row r="57" ht="28" customHeight="1" s="132">
      <c r="A57" s="220" t="inlineStr">
        <is>
          <t>A46</t>
        </is>
      </c>
      <c r="B57" s="220" t="inlineStr">
        <is>
          <t>LCC-2504271/RI072</t>
        </is>
      </c>
      <c r="C57" s="237" t="n">
        <v>45870</v>
      </c>
      <c r="D57" s="220" t="n">
        <v>12990.1</v>
      </c>
      <c r="E57" s="220" t="n">
        <v>0</v>
      </c>
      <c r="F57" s="220" t="n">
        <v>12990.1</v>
      </c>
      <c r="G57" s="220" t="n">
        <v>0</v>
      </c>
      <c r="H57" s="220" t="n">
        <v>0</v>
      </c>
      <c r="I57" s="220" t="n">
        <v>0</v>
      </c>
    </row>
    <row r="58" ht="28" customHeight="1" s="132">
      <c r="A58" s="220" t="inlineStr">
        <is>
          <t>A47</t>
        </is>
      </c>
      <c r="B58" s="220" t="inlineStr">
        <is>
          <t>LCC-2504267/RI071</t>
        </is>
      </c>
      <c r="C58" s="237" t="n">
        <v>45870</v>
      </c>
      <c r="D58" s="220" t="n">
        <v>6397.64</v>
      </c>
      <c r="E58" s="220" t="n">
        <v>0</v>
      </c>
      <c r="F58" s="220" t="n">
        <v>6397.64</v>
      </c>
      <c r="G58" s="220" t="n">
        <v>0</v>
      </c>
      <c r="H58" s="220" t="n">
        <v>0</v>
      </c>
      <c r="I58" s="220" t="n">
        <v>0</v>
      </c>
    </row>
    <row r="59" ht="28" customHeight="1" s="132">
      <c r="A59" s="220" t="inlineStr">
        <is>
          <t>A48</t>
        </is>
      </c>
      <c r="B59" s="220" t="inlineStr">
        <is>
          <t>LCC-2504284/RI077</t>
        </is>
      </c>
      <c r="C59" s="237" t="n">
        <v>45873</v>
      </c>
      <c r="D59" s="220" t="n">
        <v>4918.75</v>
      </c>
      <c r="E59" s="220" t="n">
        <v>1355.94</v>
      </c>
      <c r="F59" s="220" t="n">
        <v>3562.81</v>
      </c>
      <c r="G59" s="220" t="n">
        <v>0</v>
      </c>
      <c r="H59" s="220" t="n">
        <v>0</v>
      </c>
      <c r="I59" s="220" t="n">
        <v>0</v>
      </c>
    </row>
    <row r="60" ht="28" customHeight="1" s="132">
      <c r="A60" s="220" t="inlineStr">
        <is>
          <t>A49</t>
        </is>
      </c>
      <c r="B60" s="220" t="inlineStr">
        <is>
          <t>LCC-2504326/RI089</t>
        </is>
      </c>
      <c r="C60" s="237" t="n">
        <v>45923</v>
      </c>
      <c r="D60" s="220" t="n">
        <v>9000</v>
      </c>
      <c r="E60" s="220" t="n">
        <v>0</v>
      </c>
      <c r="F60" s="220" t="n">
        <v>9000</v>
      </c>
      <c r="G60" s="220" t="n">
        <v>0</v>
      </c>
      <c r="H60" s="220" t="n">
        <v>0</v>
      </c>
      <c r="I60" s="220" t="n">
        <v>0</v>
      </c>
    </row>
    <row r="61" ht="28" customHeight="1" s="132">
      <c r="A61" s="220" t="inlineStr">
        <is>
          <t>A50</t>
        </is>
      </c>
      <c r="B61" s="220" t="inlineStr">
        <is>
          <t>LCC-2504338/RI095</t>
        </is>
      </c>
      <c r="C61" s="237" t="n">
        <v>45925</v>
      </c>
      <c r="D61" s="220" t="n">
        <v>5006.25</v>
      </c>
      <c r="E61" s="220" t="n">
        <v>1478.26</v>
      </c>
      <c r="F61" s="220" t="n">
        <v>3527.99</v>
      </c>
      <c r="G61" s="220" t="n">
        <v>0</v>
      </c>
      <c r="H61" s="220" t="n">
        <v>0</v>
      </c>
      <c r="I61" s="220" t="n">
        <v>0</v>
      </c>
    </row>
    <row r="62" ht="28" customHeight="1" s="132">
      <c r="A62" s="220" t="inlineStr">
        <is>
          <t>A51</t>
        </is>
      </c>
      <c r="B62" s="220" t="inlineStr">
        <is>
          <t>İSM-250090/RI097</t>
        </is>
      </c>
      <c r="C62" s="237" t="n">
        <v>45929</v>
      </c>
      <c r="D62" s="220" t="n">
        <v>60599.38</v>
      </c>
      <c r="E62" s="220" t="n">
        <v>4969.15</v>
      </c>
      <c r="F62" s="220" t="n">
        <v>55630.23</v>
      </c>
      <c r="G62" s="220" t="n">
        <v>0</v>
      </c>
      <c r="H62" s="220" t="n">
        <v>0</v>
      </c>
      <c r="I62" s="220" t="n">
        <v>0</v>
      </c>
    </row>
    <row r="63" ht="28" customHeight="1" s="132">
      <c r="A63" s="220" t="inlineStr">
        <is>
          <t>A52</t>
        </is>
      </c>
      <c r="B63" s="220" t="inlineStr">
        <is>
          <t>İSM-250083/RI092</t>
        </is>
      </c>
      <c r="C63" s="237" t="n">
        <v>45929</v>
      </c>
      <c r="D63" s="220" t="n">
        <v>4800</v>
      </c>
      <c r="E63" s="220" t="n">
        <v>0</v>
      </c>
      <c r="F63" s="220" t="n">
        <v>4800</v>
      </c>
      <c r="G63" s="220" t="n">
        <v>0</v>
      </c>
      <c r="H63" s="220" t="n">
        <v>0</v>
      </c>
      <c r="I63" s="220" t="n">
        <v>0</v>
      </c>
    </row>
    <row r="64" ht="28" customHeight="1" s="132">
      <c r="A64" t="inlineStr">
        <is>
          <t>AA1</t>
        </is>
      </c>
      <c r="B64" s="141" t="inlineStr">
        <is>
          <t>Aralıq yekun</t>
        </is>
      </c>
      <c r="C64" s="141" t="n"/>
      <c r="D64" s="222" t="n">
        <v>750327.27</v>
      </c>
      <c r="E64" s="222" t="n">
        <v>54818.89</v>
      </c>
      <c r="F64" s="222" t="n">
        <v>695508.38</v>
      </c>
      <c r="G64" s="222" t="n">
        <v>0</v>
      </c>
      <c r="H64" s="222" t="n">
        <v>0</v>
      </c>
      <c r="I64" s="222" t="n">
        <v>0</v>
      </c>
    </row>
    <row r="65">
      <c r="A65" t="inlineStr">
        <is>
          <t>B</t>
        </is>
      </c>
      <c r="B65" s="183" t="inlineStr">
        <is>
          <t>II qrup təkrarsığortaçılar</t>
        </is>
      </c>
    </row>
    <row r="66" ht="28" customHeight="1" s="132">
      <c r="A66" s="220" t="inlineStr">
        <is>
          <t>B1</t>
        </is>
      </c>
      <c r="B66" s="220" t="inlineStr">
        <is>
          <t>XLA146825</t>
        </is>
      </c>
      <c r="C66" s="237" t="n">
        <v>45828</v>
      </c>
      <c r="D66" s="220" t="n">
        <v>1898.75</v>
      </c>
      <c r="E66" s="220" t="n">
        <v>0</v>
      </c>
      <c r="F66" s="220" t="n">
        <v>1898.75</v>
      </c>
      <c r="G66" s="220" t="n">
        <v>0</v>
      </c>
      <c r="H66" s="220" t="n">
        <v>0</v>
      </c>
      <c r="I66" s="220" t="n">
        <v>0</v>
      </c>
    </row>
    <row r="67" ht="28" customHeight="1" s="132">
      <c r="A67" s="220" t="inlineStr">
        <is>
          <t>B2</t>
        </is>
      </c>
      <c r="B67" s="220" t="inlineStr">
        <is>
          <t>02/009/XST/2025</t>
        </is>
      </c>
      <c r="C67" s="237" t="n">
        <v>45832</v>
      </c>
      <c r="D67" s="220" t="n">
        <v>938.62</v>
      </c>
      <c r="E67" s="220" t="n">
        <v>0</v>
      </c>
      <c r="F67" s="220" t="n">
        <v>938.62</v>
      </c>
      <c r="G67" s="220" t="n">
        <v>0</v>
      </c>
      <c r="H67" s="220" t="n">
        <v>0</v>
      </c>
      <c r="I67" s="220" t="n">
        <v>0</v>
      </c>
    </row>
    <row r="68" ht="28" customHeight="1" s="132">
      <c r="A68" s="220" t="inlineStr">
        <is>
          <t>B3</t>
        </is>
      </c>
      <c r="B68" s="220" t="inlineStr">
        <is>
          <t>03/009/XST/2025</t>
        </is>
      </c>
      <c r="C68" s="237" t="n">
        <v>45833</v>
      </c>
      <c r="D68" s="220" t="n">
        <v>1999</v>
      </c>
      <c r="E68" s="220" t="n">
        <v>0</v>
      </c>
      <c r="F68" s="220" t="n">
        <v>1999</v>
      </c>
      <c r="G68" s="220" t="n">
        <v>0</v>
      </c>
      <c r="H68" s="220" t="n">
        <v>0</v>
      </c>
      <c r="I68" s="220" t="n">
        <v>0</v>
      </c>
    </row>
    <row r="69" ht="28" customHeight="1" s="132">
      <c r="A69" s="220" t="inlineStr">
        <is>
          <t>B4</t>
        </is>
      </c>
      <c r="B69" s="220" t="inlineStr">
        <is>
          <t>LOR-25002-PR</t>
        </is>
      </c>
      <c r="C69" s="237" t="n">
        <v>45838</v>
      </c>
      <c r="D69" s="220" t="n">
        <v>5206.25</v>
      </c>
      <c r="E69" s="220" t="n">
        <v>0</v>
      </c>
      <c r="F69" s="220" t="n">
        <v>5206.25</v>
      </c>
      <c r="G69" s="220" t="n">
        <v>0</v>
      </c>
      <c r="H69" s="220" t="n">
        <v>0</v>
      </c>
      <c r="I69" s="220" t="n">
        <v>0</v>
      </c>
    </row>
    <row r="70" ht="28" customHeight="1" s="132">
      <c r="A70" s="220" t="inlineStr">
        <is>
          <t>B5</t>
        </is>
      </c>
      <c r="B70" s="220" t="inlineStr">
        <is>
          <t>LOR-25001-VG</t>
        </is>
      </c>
      <c r="C70" s="237" t="n">
        <v>45838</v>
      </c>
      <c r="D70" s="220" t="n">
        <v>3875.42</v>
      </c>
      <c r="E70" s="220" t="n">
        <v>0</v>
      </c>
      <c r="F70" s="220" t="n">
        <v>3875.42</v>
      </c>
      <c r="G70" s="220" t="n">
        <v>0</v>
      </c>
      <c r="H70" s="220" t="n">
        <v>0</v>
      </c>
      <c r="I70" s="220" t="n">
        <v>0</v>
      </c>
    </row>
    <row r="71" ht="28" customHeight="1" s="132">
      <c r="A71" s="220" t="inlineStr">
        <is>
          <t>B6</t>
        </is>
      </c>
      <c r="B71" s="220" t="inlineStr">
        <is>
          <t>LOR-25001-VG</t>
        </is>
      </c>
      <c r="C71" s="237" t="n">
        <v>45838</v>
      </c>
      <c r="D71" s="220" t="n">
        <v>2858.86</v>
      </c>
      <c r="E71" s="220" t="n">
        <v>0</v>
      </c>
      <c r="F71" s="220" t="n">
        <v>2858.86</v>
      </c>
      <c r="G71" s="220" t="n">
        <v>0</v>
      </c>
      <c r="H71" s="220" t="n">
        <v>0</v>
      </c>
      <c r="I71" s="220" t="n">
        <v>0</v>
      </c>
    </row>
    <row r="72" ht="28" customHeight="1" s="132">
      <c r="A72" s="220" t="inlineStr">
        <is>
          <t>B7</t>
        </is>
      </c>
      <c r="B72" s="220" t="inlineStr">
        <is>
          <t xml:space="preserve">002/EL/2025 </t>
        </is>
      </c>
      <c r="C72" s="237" t="n">
        <v>45845</v>
      </c>
      <c r="D72" s="220" t="n">
        <v>33363.2</v>
      </c>
      <c r="E72" s="220" t="n">
        <v>1668.16</v>
      </c>
      <c r="F72" s="220" t="n">
        <v>31695.04</v>
      </c>
      <c r="G72" s="220" t="n">
        <v>0</v>
      </c>
      <c r="H72" s="220" t="n">
        <v>0</v>
      </c>
      <c r="I72" s="220" t="n">
        <v>0</v>
      </c>
    </row>
    <row r="73" ht="28" customHeight="1" s="132">
      <c r="A73" s="220" t="inlineStr">
        <is>
          <t>B8</t>
        </is>
      </c>
      <c r="B73" s="220" t="inlineStr">
        <is>
          <t>LCC-2504250/RI061</t>
        </is>
      </c>
      <c r="C73" s="237" t="n">
        <v>45846</v>
      </c>
      <c r="D73" s="220" t="n">
        <v>4250</v>
      </c>
      <c r="E73" s="220" t="n">
        <v>1304.75</v>
      </c>
      <c r="F73" s="220" t="n">
        <v>2945.25</v>
      </c>
      <c r="G73" s="220" t="n">
        <v>0</v>
      </c>
      <c r="H73" s="220" t="n">
        <v>0</v>
      </c>
      <c r="I73" s="220" t="n">
        <v>0</v>
      </c>
    </row>
    <row r="74" ht="28" customHeight="1" s="132">
      <c r="A74" t="inlineStr">
        <is>
          <t>BB1</t>
        </is>
      </c>
      <c r="B74" s="29" t="inlineStr">
        <is>
          <t>Aralıq yekun</t>
        </is>
      </c>
      <c r="C74" s="29" t="n"/>
      <c r="D74" s="222" t="n">
        <v>54390.1</v>
      </c>
      <c r="E74" s="222" t="n">
        <v>2972.91</v>
      </c>
      <c r="F74" s="222" t="n">
        <v>51417.19</v>
      </c>
      <c r="G74" s="222" t="n">
        <v>0</v>
      </c>
      <c r="H74" s="222" t="n">
        <v>0</v>
      </c>
      <c r="I74" s="222" t="n">
        <v>0</v>
      </c>
    </row>
    <row r="75">
      <c r="A75" t="inlineStr">
        <is>
          <t>C</t>
        </is>
      </c>
      <c r="B75" s="185" t="inlineStr">
        <is>
          <t>III qrup təkrarsığortaçılar</t>
        </is>
      </c>
    </row>
    <row r="76" ht="28" customHeight="1" s="132">
      <c r="A76" s="220" t="inlineStr">
        <is>
          <t>C1</t>
        </is>
      </c>
      <c r="B76" s="220" t="inlineStr">
        <is>
          <t>01/008/XST/2025</t>
        </is>
      </c>
      <c r="C76" s="237" t="n">
        <v>45828</v>
      </c>
      <c r="D76" s="220" t="n">
        <v>2322.6</v>
      </c>
      <c r="E76" s="220" t="n">
        <v>0</v>
      </c>
      <c r="F76" s="220" t="n">
        <v>2322.6</v>
      </c>
      <c r="G76" s="220" t="n">
        <v>0</v>
      </c>
      <c r="H76" s="220" t="n">
        <v>0</v>
      </c>
      <c r="I76" s="220" t="n">
        <v>0</v>
      </c>
    </row>
    <row r="77" ht="28" customHeight="1" s="132">
      <c r="A77" s="220" t="inlineStr">
        <is>
          <t>C2</t>
        </is>
      </c>
      <c r="B77" s="220" t="inlineStr">
        <is>
          <t>01/009/XST/2025</t>
        </is>
      </c>
      <c r="C77" s="237" t="n">
        <v>45833</v>
      </c>
      <c r="D77" s="220" t="n">
        <v>1822.8</v>
      </c>
      <c r="E77" s="220" t="n">
        <v>0</v>
      </c>
      <c r="F77" s="220" t="n">
        <v>1822.8</v>
      </c>
      <c r="G77" s="220" t="n">
        <v>0</v>
      </c>
      <c r="H77" s="220" t="n">
        <v>0</v>
      </c>
      <c r="I77" s="220" t="n">
        <v>0</v>
      </c>
    </row>
    <row r="78" ht="28" customHeight="1" s="132">
      <c r="A78" t="inlineStr">
        <is>
          <t>CC1</t>
        </is>
      </c>
      <c r="B78" s="29" t="inlineStr">
        <is>
          <t>Aralıq yekun</t>
        </is>
      </c>
      <c r="C78" s="29" t="n"/>
      <c r="D78" s="222" t="n">
        <v>4145.4</v>
      </c>
      <c r="E78" s="222" t="n">
        <v>0</v>
      </c>
      <c r="F78" s="222" t="n">
        <v>4145.4</v>
      </c>
      <c r="G78" s="222" t="n">
        <v>0</v>
      </c>
      <c r="H78" s="222" t="n">
        <v>0</v>
      </c>
      <c r="I78" s="222" t="n">
        <v>0</v>
      </c>
    </row>
    <row r="79">
      <c r="A79" t="inlineStr">
        <is>
          <t>D</t>
        </is>
      </c>
      <c r="B79" s="185" t="inlineStr">
        <is>
          <t>IV qrup təkrarsığortaçılar</t>
        </is>
      </c>
    </row>
    <row r="80" ht="28" customHeight="1" s="132">
      <c r="A80" t="inlineStr">
        <is>
          <t>DD1</t>
        </is>
      </c>
      <c r="B80" s="29" t="inlineStr">
        <is>
          <t>Aralıq yekun</t>
        </is>
      </c>
      <c r="C80" s="29" t="n"/>
      <c r="D80" s="222" t="n">
        <v>0</v>
      </c>
      <c r="E80" s="222" t="n">
        <v>0</v>
      </c>
      <c r="F80" s="222" t="n">
        <v>0</v>
      </c>
      <c r="G80" s="222" t="n">
        <v>0</v>
      </c>
      <c r="H80" s="222" t="n">
        <v>0</v>
      </c>
      <c r="I80" s="222" t="n">
        <v>0</v>
      </c>
    </row>
    <row r="81" ht="28" customHeight="1" s="132">
      <c r="A81" t="inlineStr">
        <is>
          <t>ZZ1</t>
        </is>
      </c>
      <c r="B81" s="34" t="inlineStr">
        <is>
          <t>Yekun BTSH</t>
        </is>
      </c>
      <c r="C81" s="34" t="n"/>
      <c r="D81" s="222" t="n">
        <v>808862.77</v>
      </c>
      <c r="E81" s="222" t="n">
        <v>57791.8</v>
      </c>
      <c r="F81" s="222" t="n">
        <v>751070.97</v>
      </c>
      <c r="G81" s="222" t="n">
        <v>0</v>
      </c>
      <c r="H81" s="222" t="n">
        <v>0</v>
      </c>
      <c r="I81" s="222" t="n">
        <v>0</v>
      </c>
    </row>
    <row r="82">
      <c r="B82" s="71" t="n"/>
      <c r="C82" s="71" t="n"/>
      <c r="D82" s="71" t="n"/>
      <c r="E82" s="71" t="n"/>
      <c r="F82" s="71" t="n"/>
    </row>
    <row r="83">
      <c r="B83" s="187" t="inlineStr">
        <is>
          <t>İdarə heyətinin sədri ____________________________       _____________</t>
        </is>
      </c>
    </row>
    <row r="84">
      <c r="B84" s="182" t="inlineStr">
        <is>
          <t xml:space="preserve">                                     (s.a.a)                                     (imza)</t>
        </is>
      </c>
    </row>
    <row r="85">
      <c r="B85" s="187" t="inlineStr">
        <is>
          <t>Baş mühasib _______________________       _____________</t>
        </is>
      </c>
    </row>
    <row r="86">
      <c r="B86" s="182" t="inlineStr">
        <is>
          <t xml:space="preserve">                                    (s.a.a)                                      (imza)</t>
        </is>
      </c>
    </row>
    <row r="87">
      <c r="B87" s="71" t="n"/>
      <c r="C87" s="71" t="n"/>
      <c r="D87" s="35" t="n"/>
      <c r="E87" s="71" t="n"/>
      <c r="F87" s="101" t="inlineStr">
        <is>
          <t>М.Й.</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H88"/>
  <sheetViews>
    <sheetView workbookViewId="0">
      <selection activeCell="E7" sqref="E7"/>
    </sheetView>
  </sheetViews>
  <sheetFormatPr baseColWidth="8" defaultRowHeight="18"/>
  <cols>
    <col width="8.88671875" customWidth="1" style="71" min="1" max="1"/>
    <col width="22" customWidth="1" style="71" min="2" max="2"/>
    <col width="21.21875" customWidth="1" style="71" min="3" max="3"/>
    <col width="23.44140625" customWidth="1" style="71" min="4" max="4"/>
    <col width="19.5546875" customWidth="1" style="71" min="5" max="5"/>
    <col width="20.5546875" customWidth="1" style="71" min="6" max="6"/>
    <col width="20.5546875" customWidth="1" style="132" min="7" max="7"/>
    <col width="21.5546875" customWidth="1" style="132" min="8" max="8"/>
    <col width="8.88671875" customWidth="1" style="132" min="9" max="16384"/>
  </cols>
  <sheetData>
    <row r="1" ht="41.4" customHeight="1" s="132">
      <c r="A1" s="71" t="n"/>
      <c r="B1" s="27" t="n"/>
      <c r="C1" s="27" t="n"/>
      <c r="D1" s="27" t="n"/>
      <c r="E1" s="174" t="inlineStr">
        <is>
          <t>«Həyat sığortası və qeyri-həyat sığortası
üzrə sığorta ehtiyatlarının formalaşdırılması
Qaydaları»na Əlavə № 3</t>
        </is>
      </c>
    </row>
    <row r="2" s="132">
      <c r="A2" s="71" t="n"/>
      <c r="B2" s="189" t="inlineStr">
        <is>
          <t>Forma № 8-5</t>
        </is>
      </c>
      <c r="C2" s="27" t="n"/>
      <c r="D2" s="27" t="n"/>
      <c r="E2" s="200" t="n"/>
      <c r="F2" s="27" t="n"/>
    </row>
    <row r="3" ht="20.4" customHeight="1" s="132">
      <c r="A3" s="71" t="n"/>
      <c r="B3" s="179" t="inlineStr">
        <is>
          <t xml:space="preserve"> Qazanılmamış sığorta haqları ehtiyatının baza hissəsində təkrarsığortaçıların payı</t>
        </is>
      </c>
    </row>
    <row r="4" s="132">
      <c r="A4" s="71" t="n"/>
      <c r="B4" s="176" t="n">
        <v>0</v>
      </c>
    </row>
    <row r="5" s="132">
      <c r="A5" s="71" t="n"/>
      <c r="B5" s="177" t="inlineStr">
        <is>
          <t xml:space="preserve">    (sığortaçının (təkrarsığortaçının)  adı)</t>
        </is>
      </c>
    </row>
    <row r="6" s="132">
      <c r="A6" s="71" t="n"/>
      <c r="B6" s="11" t="n"/>
      <c r="D6" s="12" t="inlineStr">
        <is>
          <t>01.01.2026</t>
        </is>
      </c>
      <c r="E6" s="11" t="inlineStr">
        <is>
          <t xml:space="preserve"> -cı il  tarixə</t>
        </is>
      </c>
      <c r="F6" s="11" t="n"/>
    </row>
    <row r="7" s="132">
      <c r="A7" s="71" t="n"/>
      <c r="B7" s="13" t="n"/>
      <c r="C7" s="13" t="n"/>
      <c r="D7" s="13" t="n"/>
      <c r="E7" s="13" t="n"/>
      <c r="F7" s="13" t="n"/>
    </row>
    <row r="8" s="132">
      <c r="A8" s="71" t="n"/>
      <c r="B8" s="14" t="inlineStr">
        <is>
          <t>Sığortanın sinifi ____________________________</t>
        </is>
      </c>
      <c r="C8" s="219" t="inlineStr">
        <is>
          <t>(21)UmumiMulkiMesuliyy</t>
        </is>
      </c>
      <c r="D8" s="15" t="n"/>
      <c r="E8" s="13" t="n"/>
      <c r="F8" s="13" t="n"/>
    </row>
    <row r="9" ht="138" customHeight="1" s="132">
      <c r="A9" s="71" t="n"/>
      <c r="B9" s="18" t="inlineStr">
        <is>
          <t>Təkrarsığorta müqavilələri (təkrarsığortaya verilmiş risklər üzrə)</t>
        </is>
      </c>
      <c r="C9" s="18" t="inlineStr">
        <is>
          <t>Baza təkrarsığorta haqqı</t>
        </is>
      </c>
      <c r="D9" s="18" t="inlineStr">
        <is>
          <t>Müqavilənin qüvvədə olma müddəti (günlərlə)</t>
        </is>
      </c>
      <c r="E9" s="18" t="inlineStr">
        <is>
          <t xml:space="preserve">Müqavilənin qüvvəyə mindiyi andan hesabat tarixinə qədər günlərin sayı </t>
        </is>
      </c>
      <c r="F9" s="18" t="inlineStr">
        <is>
          <t>Qazanılmamış təkrarsığorta haqqı (süt.2x(süt.3-süt.4)/süt.3)</t>
        </is>
      </c>
      <c r="G9" s="18" t="inlineStr">
        <is>
          <t>Baza təkrarsığorta haqqının katastrofik risk təminatına düşən hissəsi</t>
        </is>
      </c>
      <c r="H9" s="18" t="inlineStr">
        <is>
          <t>Qazanılmamış təkrarsığorta haqqının katastrofik risk təminatına düşən hissəsi
(VIx(III- IV)/III)</t>
        </is>
      </c>
    </row>
    <row r="10">
      <c r="B10" s="33" t="inlineStr">
        <is>
          <t>I</t>
        </is>
      </c>
      <c r="C10" s="33" t="inlineStr">
        <is>
          <t>II</t>
        </is>
      </c>
      <c r="D10" s="33" t="inlineStr">
        <is>
          <t>III</t>
        </is>
      </c>
      <c r="E10" s="33" t="inlineStr">
        <is>
          <t>IV</t>
        </is>
      </c>
      <c r="F10" s="33" t="inlineStr">
        <is>
          <t>V</t>
        </is>
      </c>
      <c r="G10" s="33" t="inlineStr">
        <is>
          <t>VI</t>
        </is>
      </c>
      <c r="H10" s="33" t="inlineStr">
        <is>
          <t>VII</t>
        </is>
      </c>
    </row>
    <row r="11" ht="15.6" customHeight="1" s="132">
      <c r="A11" s="38" t="inlineStr">
        <is>
          <t>A</t>
        </is>
      </c>
      <c r="B11" s="39" t="n"/>
      <c r="C11" s="40" t="n"/>
      <c r="D11" s="39" t="inlineStr">
        <is>
          <t>I qrup təkrarsığortaçılar</t>
        </is>
      </c>
      <c r="E11" s="40" t="n"/>
      <c r="F11" s="41" t="n"/>
      <c r="G11" s="41" t="n"/>
      <c r="H11" s="41" t="n"/>
    </row>
    <row r="12" ht="28" customHeight="1" s="132">
      <c r="A12" s="220" t="inlineStr">
        <is>
          <t>A1</t>
        </is>
      </c>
      <c r="B12" s="220" t="inlineStr">
        <is>
          <t>LCC-2403820/RI072</t>
        </is>
      </c>
      <c r="C12" s="220" t="n">
        <v>3603.09</v>
      </c>
      <c r="D12" s="220" t="n">
        <v>549</v>
      </c>
      <c r="E12" s="220" t="n">
        <v>550</v>
      </c>
      <c r="F12" s="220" t="n">
        <v>-6.56</v>
      </c>
      <c r="G12" s="220" t="n">
        <v>0</v>
      </c>
      <c r="H12" s="220" t="n">
        <v>0</v>
      </c>
    </row>
    <row r="13" ht="28" customHeight="1" s="132">
      <c r="A13" s="220" t="inlineStr">
        <is>
          <t>A2</t>
        </is>
      </c>
      <c r="B13" s="220" t="inlineStr">
        <is>
          <t>LCC-2403883/RI105</t>
        </is>
      </c>
      <c r="C13" s="220" t="n">
        <v>1036.84</v>
      </c>
      <c r="D13" s="220" t="n">
        <v>366</v>
      </c>
      <c r="E13" s="220" t="n">
        <v>366</v>
      </c>
      <c r="F13" s="220" t="n">
        <v>0</v>
      </c>
      <c r="G13" s="220" t="n">
        <v>0</v>
      </c>
      <c r="H13" s="220" t="n">
        <v>0</v>
      </c>
    </row>
    <row r="14" ht="28" customHeight="1" s="132">
      <c r="A14" s="220" t="inlineStr">
        <is>
          <t>A3</t>
        </is>
      </c>
      <c r="B14" s="220" t="inlineStr">
        <is>
          <t>LCC-2403909/RI117</t>
        </is>
      </c>
      <c r="C14" s="220" t="n">
        <v>17956.27</v>
      </c>
      <c r="D14" s="220" t="n">
        <v>365</v>
      </c>
      <c r="E14" s="220" t="n">
        <v>427</v>
      </c>
      <c r="F14" s="220" t="n">
        <v>-3050.11</v>
      </c>
      <c r="G14" s="220" t="n">
        <v>0</v>
      </c>
      <c r="H14" s="220" t="n">
        <v>0</v>
      </c>
    </row>
    <row r="15" ht="28" customHeight="1" s="132">
      <c r="A15" s="220" t="inlineStr">
        <is>
          <t>A4</t>
        </is>
      </c>
      <c r="B15" s="220" t="inlineStr">
        <is>
          <t>LCC-2403910/RI118</t>
        </is>
      </c>
      <c r="C15" s="220" t="n">
        <v>34380.02</v>
      </c>
      <c r="D15" s="220" t="n">
        <v>365</v>
      </c>
      <c r="E15" s="220" t="n">
        <v>427</v>
      </c>
      <c r="F15" s="220" t="n">
        <v>-5839.89</v>
      </c>
      <c r="G15" s="220" t="n">
        <v>0</v>
      </c>
      <c r="H15" s="220" t="n">
        <v>0</v>
      </c>
    </row>
    <row r="16" ht="28" customHeight="1" s="132">
      <c r="A16" s="220" t="inlineStr">
        <is>
          <t>A5</t>
        </is>
      </c>
      <c r="B16" s="220" t="inlineStr">
        <is>
          <t>LCC-2403927/RI131</t>
        </is>
      </c>
      <c r="C16" s="220" t="n">
        <v>3920.37</v>
      </c>
      <c r="D16" s="220" t="n">
        <v>365</v>
      </c>
      <c r="E16" s="220" t="n">
        <v>424</v>
      </c>
      <c r="F16" s="220" t="n">
        <v>-633.7</v>
      </c>
      <c r="G16" s="220" t="n">
        <v>0</v>
      </c>
      <c r="H16" s="220" t="n">
        <v>0</v>
      </c>
    </row>
    <row r="17" ht="28" customHeight="1" s="132">
      <c r="A17" s="220" t="inlineStr">
        <is>
          <t>A6</t>
        </is>
      </c>
      <c r="B17" s="220" t="inlineStr">
        <is>
          <t>LCC-2403927/RI131</t>
        </is>
      </c>
      <c r="C17" s="220" t="n">
        <v>4550.39</v>
      </c>
      <c r="D17" s="220" t="n">
        <v>365</v>
      </c>
      <c r="E17" s="220" t="n">
        <v>424</v>
      </c>
      <c r="F17" s="220" t="n">
        <v>-735.54</v>
      </c>
      <c r="G17" s="220" t="n">
        <v>0</v>
      </c>
      <c r="H17" s="220" t="n">
        <v>0</v>
      </c>
    </row>
    <row r="18" ht="28" customHeight="1" s="132">
      <c r="A18" s="220" t="inlineStr">
        <is>
          <t>A7</t>
        </is>
      </c>
      <c r="B18" s="220" t="inlineStr">
        <is>
          <t>LCC-2403928/RI132</t>
        </is>
      </c>
      <c r="C18" s="220" t="n">
        <v>2730.23</v>
      </c>
      <c r="D18" s="220" t="n">
        <v>365</v>
      </c>
      <c r="E18" s="220" t="n">
        <v>424</v>
      </c>
      <c r="F18" s="220" t="n">
        <v>-441.32</v>
      </c>
      <c r="G18" s="220" t="n">
        <v>0</v>
      </c>
      <c r="H18" s="220" t="n">
        <v>0</v>
      </c>
    </row>
    <row r="19" ht="28" customHeight="1" s="132">
      <c r="A19" s="220" t="inlineStr">
        <is>
          <t>A8</t>
        </is>
      </c>
      <c r="B19" s="220" t="inlineStr">
        <is>
          <t>LCC-2403928/RI132</t>
        </is>
      </c>
      <c r="C19" s="220" t="n">
        <v>3150.27</v>
      </c>
      <c r="D19" s="220" t="n">
        <v>365</v>
      </c>
      <c r="E19" s="220" t="n">
        <v>424</v>
      </c>
      <c r="F19" s="220" t="n">
        <v>-509.22</v>
      </c>
      <c r="G19" s="220" t="n">
        <v>0</v>
      </c>
      <c r="H19" s="220" t="n">
        <v>0</v>
      </c>
    </row>
    <row r="20" ht="28" customHeight="1" s="132">
      <c r="A20" s="220" t="inlineStr">
        <is>
          <t>A9</t>
        </is>
      </c>
      <c r="B20" s="220" t="inlineStr">
        <is>
          <t>LCC-2403933/RI133</t>
        </is>
      </c>
      <c r="C20" s="220" t="n">
        <v>3789.3</v>
      </c>
      <c r="D20" s="220" t="n">
        <v>0</v>
      </c>
      <c r="E20" s="220" t="n">
        <v>427</v>
      </c>
      <c r="F20" s="220" t="n">
        <v>3789.3</v>
      </c>
      <c r="G20" s="220" t="n">
        <v>0</v>
      </c>
      <c r="H20" s="220" t="n">
        <v>0</v>
      </c>
    </row>
    <row r="21" ht="28" customHeight="1" s="132">
      <c r="A21" s="220" t="inlineStr">
        <is>
          <t>A10</t>
        </is>
      </c>
      <c r="B21" s="220" t="inlineStr">
        <is>
          <t>LCC-2403937/RI135</t>
        </is>
      </c>
      <c r="C21" s="220" t="n">
        <v>1345.24</v>
      </c>
      <c r="D21" s="220" t="n">
        <v>365</v>
      </c>
      <c r="E21" s="220" t="n">
        <v>428</v>
      </c>
      <c r="F21" s="220" t="n">
        <v>-232.19</v>
      </c>
      <c r="G21" s="220" t="n">
        <v>0</v>
      </c>
      <c r="H21" s="220" t="n">
        <v>0</v>
      </c>
    </row>
    <row r="22" ht="28" customHeight="1" s="132">
      <c r="A22" s="220" t="inlineStr">
        <is>
          <t>A11</t>
        </is>
      </c>
      <c r="B22" s="220" t="inlineStr">
        <is>
          <t>LCC-2403916/RI134</t>
        </is>
      </c>
      <c r="C22" s="220" t="n">
        <v>13200.07</v>
      </c>
      <c r="D22" s="220" t="n">
        <v>365</v>
      </c>
      <c r="E22" s="220" t="n">
        <v>428</v>
      </c>
      <c r="F22" s="220" t="n">
        <v>-2278.37</v>
      </c>
      <c r="G22" s="220" t="n">
        <v>0</v>
      </c>
      <c r="H22" s="220" t="n">
        <v>0</v>
      </c>
    </row>
    <row r="23" ht="28" customHeight="1" s="132">
      <c r="A23" s="220" t="inlineStr">
        <is>
          <t>A12</t>
        </is>
      </c>
      <c r="B23" s="220" t="inlineStr">
        <is>
          <t>LCC-2403954/RI140</t>
        </is>
      </c>
      <c r="C23" s="220" t="n">
        <v>68000</v>
      </c>
      <c r="D23" s="220" t="n">
        <v>365</v>
      </c>
      <c r="E23" s="220" t="n">
        <v>374</v>
      </c>
      <c r="F23" s="220" t="n">
        <v>-1676.71</v>
      </c>
      <c r="G23" s="220" t="n">
        <v>0</v>
      </c>
      <c r="H23" s="220" t="n">
        <v>0</v>
      </c>
    </row>
    <row r="24" ht="28" customHeight="1" s="132">
      <c r="A24" s="220" t="inlineStr">
        <is>
          <t>A13</t>
        </is>
      </c>
      <c r="B24" s="220" t="inlineStr">
        <is>
          <t>LCC-2403941/RI141</t>
        </is>
      </c>
      <c r="C24" s="220" t="n">
        <v>874.65</v>
      </c>
      <c r="D24" s="220" t="n">
        <v>365</v>
      </c>
      <c r="E24" s="220" t="n">
        <v>366</v>
      </c>
      <c r="F24" s="220" t="n">
        <v>-2.4</v>
      </c>
      <c r="G24" s="220" t="n">
        <v>0</v>
      </c>
      <c r="H24" s="220" t="n">
        <v>0</v>
      </c>
    </row>
    <row r="25" ht="28" customHeight="1" s="132">
      <c r="A25" s="220" t="inlineStr">
        <is>
          <t>A14</t>
        </is>
      </c>
      <c r="B25" s="220" t="inlineStr">
        <is>
          <t>LCC-2403961/RI144</t>
        </is>
      </c>
      <c r="C25" s="220" t="n">
        <v>7165.5</v>
      </c>
      <c r="D25" s="220" t="n">
        <v>365</v>
      </c>
      <c r="E25" s="220" t="n">
        <v>383</v>
      </c>
      <c r="F25" s="220" t="n">
        <v>-353.37</v>
      </c>
      <c r="G25" s="220" t="n">
        <v>0</v>
      </c>
      <c r="H25" s="220" t="n">
        <v>0</v>
      </c>
    </row>
    <row r="26" ht="28" customHeight="1" s="132">
      <c r="A26" s="220" t="inlineStr">
        <is>
          <t>A15</t>
        </is>
      </c>
      <c r="B26" s="220" t="inlineStr">
        <is>
          <t>LCC-2403962/RI145</t>
        </is>
      </c>
      <c r="C26" s="220" t="n">
        <v>2945.25</v>
      </c>
      <c r="D26" s="220" t="n">
        <v>365</v>
      </c>
      <c r="E26" s="220" t="n">
        <v>383</v>
      </c>
      <c r="F26" s="220" t="n">
        <v>-145.25</v>
      </c>
      <c r="G26" s="220" t="n">
        <v>0</v>
      </c>
      <c r="H26" s="220" t="n">
        <v>0</v>
      </c>
    </row>
    <row r="27" ht="28" customHeight="1" s="132">
      <c r="A27" s="220" t="inlineStr">
        <is>
          <t>A16</t>
        </is>
      </c>
      <c r="B27" s="220" t="inlineStr">
        <is>
          <t>LCC-2503967/RI003</t>
        </is>
      </c>
      <c r="C27" s="220" t="n">
        <v>1356.4</v>
      </c>
      <c r="D27" s="220" t="n">
        <v>365</v>
      </c>
      <c r="E27" s="220" t="n">
        <v>366</v>
      </c>
      <c r="F27" s="220" t="n">
        <v>-3.72</v>
      </c>
      <c r="G27" s="220" t="n">
        <v>0</v>
      </c>
      <c r="H27" s="220" t="n">
        <v>0</v>
      </c>
    </row>
    <row r="28" ht="28" customHeight="1" s="132">
      <c r="A28" s="220" t="inlineStr">
        <is>
          <t>A17</t>
        </is>
      </c>
      <c r="B28" s="220" t="inlineStr">
        <is>
          <t>LCC-2503970/RI004</t>
        </is>
      </c>
      <c r="C28" s="220" t="n">
        <v>16980.17</v>
      </c>
      <c r="D28" s="220" t="n">
        <v>365</v>
      </c>
      <c r="E28" s="220" t="n">
        <v>366</v>
      </c>
      <c r="F28" s="220" t="n">
        <v>-46.52</v>
      </c>
      <c r="G28" s="220" t="n">
        <v>0</v>
      </c>
      <c r="H28" s="220" t="n">
        <v>0</v>
      </c>
    </row>
    <row r="29" ht="28" customHeight="1" s="132">
      <c r="A29" s="220" t="inlineStr">
        <is>
          <t>A18</t>
        </is>
      </c>
      <c r="B29" s="220" t="inlineStr">
        <is>
          <t>LCC-2504037/RI008</t>
        </is>
      </c>
      <c r="C29" s="220" t="n">
        <v>34047.62</v>
      </c>
      <c r="D29" s="220" t="n">
        <v>365</v>
      </c>
      <c r="E29" s="220" t="n">
        <v>397</v>
      </c>
      <c r="F29" s="220" t="n">
        <v>-2985</v>
      </c>
      <c r="G29" s="220" t="n">
        <v>0</v>
      </c>
      <c r="H29" s="220" t="n">
        <v>0</v>
      </c>
    </row>
    <row r="30" ht="28" customHeight="1" s="132">
      <c r="A30" s="220" t="inlineStr">
        <is>
          <t>A19</t>
        </is>
      </c>
      <c r="B30" s="220" t="inlineStr">
        <is>
          <t>LCC-2504038/RI011</t>
        </is>
      </c>
      <c r="C30" s="220" t="n">
        <v>2945.25</v>
      </c>
      <c r="D30" s="220" t="n">
        <v>365</v>
      </c>
      <c r="E30" s="220" t="n">
        <v>366</v>
      </c>
      <c r="F30" s="220" t="n">
        <v>-8.07</v>
      </c>
      <c r="G30" s="220" t="n">
        <v>0</v>
      </c>
      <c r="H30" s="220" t="n">
        <v>0</v>
      </c>
    </row>
    <row r="31" ht="28" customHeight="1" s="132">
      <c r="A31" s="220" t="inlineStr">
        <is>
          <t>A20</t>
        </is>
      </c>
      <c r="B31" s="220" t="inlineStr">
        <is>
          <t>LCC-2504089/RI017</t>
        </is>
      </c>
      <c r="C31" s="220" t="n">
        <v>5039.65</v>
      </c>
      <c r="D31" s="220" t="n">
        <v>365</v>
      </c>
      <c r="E31" s="220" t="n">
        <v>301</v>
      </c>
      <c r="F31" s="220" t="n">
        <v>883.66</v>
      </c>
      <c r="G31" s="220" t="n">
        <v>0</v>
      </c>
      <c r="H31" s="220" t="n">
        <v>0</v>
      </c>
    </row>
    <row r="32" ht="28" customHeight="1" s="132">
      <c r="A32" s="220" t="inlineStr">
        <is>
          <t>A21</t>
        </is>
      </c>
      <c r="B32" s="220" t="inlineStr">
        <is>
          <t>LCC-2504096/RI030</t>
        </is>
      </c>
      <c r="C32" s="220" t="n">
        <v>5000</v>
      </c>
      <c r="D32" s="220" t="n">
        <v>549</v>
      </c>
      <c r="E32" s="220" t="n">
        <v>300</v>
      </c>
      <c r="F32" s="220" t="n">
        <v>2267.76</v>
      </c>
      <c r="G32" s="220" t="n">
        <v>0</v>
      </c>
      <c r="H32" s="220" t="n">
        <v>0</v>
      </c>
    </row>
    <row r="33" ht="28" customHeight="1" s="132">
      <c r="A33" s="220" t="inlineStr">
        <is>
          <t>A22</t>
        </is>
      </c>
      <c r="B33" s="220" t="inlineStr">
        <is>
          <t xml:space="preserve">001/PL/2025 </t>
        </is>
      </c>
      <c r="C33" s="220" t="n">
        <v>8287.5</v>
      </c>
      <c r="D33" s="220" t="n">
        <v>366</v>
      </c>
      <c r="E33" s="220" t="n">
        <v>291</v>
      </c>
      <c r="F33" s="220" t="n">
        <v>1698.26</v>
      </c>
      <c r="G33" s="220" t="n">
        <v>0</v>
      </c>
      <c r="H33" s="220" t="n">
        <v>0</v>
      </c>
    </row>
    <row r="34" ht="28" customHeight="1" s="132">
      <c r="A34" s="220" t="inlineStr">
        <is>
          <t>A23</t>
        </is>
      </c>
      <c r="B34" s="220" t="inlineStr">
        <is>
          <t>LCC-2504109/RI029</t>
        </is>
      </c>
      <c r="C34" s="220" t="n">
        <v>1403.98</v>
      </c>
      <c r="D34" s="220" t="n">
        <v>366</v>
      </c>
      <c r="E34" s="220" t="n">
        <v>337</v>
      </c>
      <c r="F34" s="220" t="n">
        <v>111.24</v>
      </c>
      <c r="G34" s="220" t="n">
        <v>0</v>
      </c>
      <c r="H34" s="220" t="n">
        <v>0</v>
      </c>
    </row>
    <row r="35" ht="28" customHeight="1" s="132">
      <c r="A35" s="220" t="inlineStr">
        <is>
          <t>A24</t>
        </is>
      </c>
      <c r="B35" s="220" t="inlineStr">
        <is>
          <t>LCC-2504123/RI035</t>
        </is>
      </c>
      <c r="C35" s="220" t="n">
        <v>2607.63</v>
      </c>
      <c r="D35" s="220" t="n">
        <v>365</v>
      </c>
      <c r="E35" s="220" t="n">
        <v>276</v>
      </c>
      <c r="F35" s="220" t="n">
        <v>635.83</v>
      </c>
      <c r="G35" s="220" t="n">
        <v>0</v>
      </c>
      <c r="H35" s="220" t="n">
        <v>0</v>
      </c>
    </row>
    <row r="36" ht="28" customHeight="1" s="132">
      <c r="A36" s="220" t="inlineStr">
        <is>
          <t>A25</t>
        </is>
      </c>
      <c r="B36" s="220" t="inlineStr">
        <is>
          <t>LCC-2504118/RI034</t>
        </is>
      </c>
      <c r="C36" s="220" t="n">
        <v>8500</v>
      </c>
      <c r="D36" s="220" t="n">
        <v>365</v>
      </c>
      <c r="E36" s="220" t="n">
        <v>276</v>
      </c>
      <c r="F36" s="220" t="n">
        <v>2072.6</v>
      </c>
      <c r="G36" s="220" t="n">
        <v>0</v>
      </c>
      <c r="H36" s="220" t="n">
        <v>0</v>
      </c>
    </row>
    <row r="37" ht="28" customHeight="1" s="132">
      <c r="A37" s="220" t="inlineStr">
        <is>
          <t>A26</t>
        </is>
      </c>
      <c r="B37" s="220" t="inlineStr">
        <is>
          <t>LCC-2503970/RI004-01</t>
        </is>
      </c>
      <c r="C37" s="220" t="n">
        <v>8168.05</v>
      </c>
      <c r="D37" s="220" t="n">
        <v>365</v>
      </c>
      <c r="E37" s="220" t="n">
        <v>366</v>
      </c>
      <c r="F37" s="220" t="n">
        <v>-22.38</v>
      </c>
      <c r="G37" s="220" t="n">
        <v>0</v>
      </c>
      <c r="H37" s="220" t="n">
        <v>0</v>
      </c>
    </row>
    <row r="38" ht="28" customHeight="1" s="132">
      <c r="A38" s="220" t="inlineStr">
        <is>
          <t>A27</t>
        </is>
      </c>
      <c r="B38" s="220" t="inlineStr">
        <is>
          <t>LCC-2504223/RI053</t>
        </is>
      </c>
      <c r="C38" s="220" t="n">
        <v>2307.75</v>
      </c>
      <c r="D38" s="220" t="n">
        <v>365</v>
      </c>
      <c r="E38" s="220" t="n">
        <v>217</v>
      </c>
      <c r="F38" s="220" t="n">
        <v>935.75</v>
      </c>
      <c r="G38" s="220" t="n">
        <v>0</v>
      </c>
      <c r="H38" s="220" t="n">
        <v>0</v>
      </c>
    </row>
    <row r="39" ht="28" customHeight="1" s="132">
      <c r="A39" s="220" t="inlineStr">
        <is>
          <t>A28</t>
        </is>
      </c>
      <c r="B39" s="220" t="inlineStr">
        <is>
          <t>PI 994/25</t>
        </is>
      </c>
      <c r="C39" s="220" t="n">
        <v>35530</v>
      </c>
      <c r="D39" s="220" t="n">
        <v>592</v>
      </c>
      <c r="E39" s="220" t="n">
        <v>233</v>
      </c>
      <c r="F39" s="220" t="n">
        <v>21546.06</v>
      </c>
      <c r="G39" s="220" t="n">
        <v>0</v>
      </c>
      <c r="H39" s="220" t="n">
        <v>0</v>
      </c>
    </row>
    <row r="40" ht="28" customHeight="1" s="132">
      <c r="A40" s="220" t="inlineStr">
        <is>
          <t>A29</t>
        </is>
      </c>
      <c r="B40" s="220" t="inlineStr">
        <is>
          <t>GL EL 988/25</t>
        </is>
      </c>
      <c r="C40" s="220" t="n">
        <v>38760</v>
      </c>
      <c r="D40" s="220" t="n">
        <v>592</v>
      </c>
      <c r="E40" s="220" t="n">
        <v>233</v>
      </c>
      <c r="F40" s="220" t="n">
        <v>23504.8</v>
      </c>
      <c r="G40" s="220" t="n">
        <v>0</v>
      </c>
      <c r="H40" s="220" t="n">
        <v>0</v>
      </c>
    </row>
    <row r="41" ht="28" customHeight="1" s="132">
      <c r="A41" s="220" t="inlineStr">
        <is>
          <t>A30</t>
        </is>
      </c>
      <c r="B41" s="220" t="inlineStr">
        <is>
          <t>GL EL 988/25</t>
        </is>
      </c>
      <c r="C41" s="220" t="n">
        <v>27455</v>
      </c>
      <c r="D41" s="220" t="n">
        <v>592</v>
      </c>
      <c r="E41" s="220" t="n">
        <v>233</v>
      </c>
      <c r="F41" s="220" t="n">
        <v>16649.23</v>
      </c>
      <c r="G41" s="220" t="n">
        <v>0</v>
      </c>
      <c r="H41" s="220" t="n">
        <v>0</v>
      </c>
    </row>
    <row r="42" ht="28" customHeight="1" s="132">
      <c r="A42" s="220" t="inlineStr">
        <is>
          <t>A31</t>
        </is>
      </c>
      <c r="B42" s="220" t="inlineStr">
        <is>
          <t>LOR-25001-PS</t>
        </is>
      </c>
      <c r="C42" s="220" t="n">
        <v>2689.26</v>
      </c>
      <c r="D42" s="220" t="n">
        <v>365</v>
      </c>
      <c r="E42" s="220" t="n">
        <v>246</v>
      </c>
      <c r="F42" s="220" t="n">
        <v>876.77</v>
      </c>
      <c r="G42" s="220" t="n">
        <v>0</v>
      </c>
      <c r="H42" s="220" t="n">
        <v>0</v>
      </c>
    </row>
    <row r="43" ht="28" customHeight="1" s="132">
      <c r="A43" s="220" t="inlineStr">
        <is>
          <t>A32</t>
        </is>
      </c>
      <c r="B43" s="220" t="inlineStr">
        <is>
          <t>LOR-25001-AR</t>
        </is>
      </c>
      <c r="C43" s="220" t="n">
        <v>3990</v>
      </c>
      <c r="D43" s="220" t="n">
        <v>365</v>
      </c>
      <c r="E43" s="220" t="n">
        <v>246</v>
      </c>
      <c r="F43" s="220" t="n">
        <v>1300.85</v>
      </c>
      <c r="G43" s="220" t="n">
        <v>0</v>
      </c>
      <c r="H43" s="220" t="n">
        <v>0</v>
      </c>
    </row>
    <row r="44" ht="28" customHeight="1" s="132">
      <c r="A44" s="220" t="inlineStr">
        <is>
          <t>A33</t>
        </is>
      </c>
      <c r="B44" s="220" t="inlineStr">
        <is>
          <t>LOR-25002-AR</t>
        </is>
      </c>
      <c r="C44" s="220" t="n">
        <v>3903.2</v>
      </c>
      <c r="D44" s="220" t="n">
        <v>365</v>
      </c>
      <c r="E44" s="220" t="n">
        <v>246</v>
      </c>
      <c r="F44" s="220" t="n">
        <v>1272.55</v>
      </c>
      <c r="G44" s="220" t="n">
        <v>0</v>
      </c>
      <c r="H44" s="220" t="n">
        <v>0</v>
      </c>
    </row>
    <row r="45" ht="28" customHeight="1" s="132">
      <c r="A45" s="220" t="inlineStr">
        <is>
          <t>A34</t>
        </is>
      </c>
      <c r="B45" s="220" t="inlineStr">
        <is>
          <t>01/002/PL/2025</t>
        </is>
      </c>
      <c r="C45" s="220" t="n">
        <v>9205.5</v>
      </c>
      <c r="D45" s="220" t="n">
        <v>365</v>
      </c>
      <c r="E45" s="220" t="n">
        <v>212</v>
      </c>
      <c r="F45" s="220" t="n">
        <v>3858.74</v>
      </c>
      <c r="G45" s="220" t="n">
        <v>0</v>
      </c>
      <c r="H45" s="220" t="n">
        <v>0</v>
      </c>
    </row>
    <row r="46" ht="28" customHeight="1" s="132">
      <c r="A46" s="220" t="inlineStr">
        <is>
          <t>A35</t>
        </is>
      </c>
      <c r="B46" s="220" t="inlineStr">
        <is>
          <t>LCC-2504233/RI054</t>
        </is>
      </c>
      <c r="C46" s="220" t="n">
        <v>6460</v>
      </c>
      <c r="D46" s="220" t="n">
        <v>365</v>
      </c>
      <c r="E46" s="220" t="n">
        <v>203</v>
      </c>
      <c r="F46" s="220" t="n">
        <v>2867.18</v>
      </c>
      <c r="G46" s="220" t="n">
        <v>0</v>
      </c>
      <c r="H46" s="220" t="n">
        <v>0</v>
      </c>
    </row>
    <row r="47" ht="28" customHeight="1" s="132">
      <c r="A47" s="220" t="inlineStr">
        <is>
          <t>A36</t>
        </is>
      </c>
      <c r="B47" s="220" t="inlineStr">
        <is>
          <t>CGL 992/25</t>
        </is>
      </c>
      <c r="C47" s="220" t="n">
        <v>61370</v>
      </c>
      <c r="D47" s="220" t="n">
        <v>730</v>
      </c>
      <c r="E47" s="220" t="n">
        <v>219</v>
      </c>
      <c r="F47" s="220" t="n">
        <v>42959</v>
      </c>
      <c r="G47" s="220" t="n">
        <v>0</v>
      </c>
      <c r="H47" s="220" t="n">
        <v>0</v>
      </c>
    </row>
    <row r="48" ht="28" customHeight="1" s="132">
      <c r="A48" s="220" t="inlineStr">
        <is>
          <t>A37</t>
        </is>
      </c>
      <c r="B48" s="220" t="inlineStr">
        <is>
          <t>PI 993/25</t>
        </is>
      </c>
      <c r="C48" s="220" t="n">
        <v>56525</v>
      </c>
      <c r="D48" s="220" t="n">
        <v>730</v>
      </c>
      <c r="E48" s="220" t="n">
        <v>219</v>
      </c>
      <c r="F48" s="220" t="n">
        <v>39567.5</v>
      </c>
      <c r="G48" s="220" t="n">
        <v>0</v>
      </c>
      <c r="H48" s="220" t="n">
        <v>0</v>
      </c>
    </row>
    <row r="49" ht="28" customHeight="1" s="132">
      <c r="A49" s="220" t="inlineStr">
        <is>
          <t>A38</t>
        </is>
      </c>
      <c r="B49" s="220" t="inlineStr">
        <is>
          <t>008/TL/2025</t>
        </is>
      </c>
      <c r="C49" s="220" t="n">
        <v>2720</v>
      </c>
      <c r="D49" s="220" t="n">
        <v>365</v>
      </c>
      <c r="E49" s="220" t="n">
        <v>195</v>
      </c>
      <c r="F49" s="220" t="n">
        <v>1266.85</v>
      </c>
      <c r="G49" s="220" t="n">
        <v>0</v>
      </c>
      <c r="H49" s="220" t="n">
        <v>0</v>
      </c>
    </row>
    <row r="50" ht="28" customHeight="1" s="132">
      <c r="A50" s="220" t="inlineStr">
        <is>
          <t>A39</t>
        </is>
      </c>
      <c r="B50" s="220" t="inlineStr">
        <is>
          <t>LCC- 2504275/RI070</t>
        </is>
      </c>
      <c r="C50" s="220" t="n">
        <v>10010.86</v>
      </c>
      <c r="D50" s="220" t="n">
        <v>365</v>
      </c>
      <c r="E50" s="220" t="n">
        <v>155</v>
      </c>
      <c r="F50" s="220" t="n">
        <v>5759.67</v>
      </c>
      <c r="G50" s="220" t="n">
        <v>0</v>
      </c>
      <c r="H50" s="220" t="n">
        <v>0</v>
      </c>
    </row>
    <row r="51" ht="28" customHeight="1" s="132">
      <c r="A51" s="220" t="inlineStr">
        <is>
          <t>A40</t>
        </is>
      </c>
      <c r="B51" s="220" t="inlineStr">
        <is>
          <t>LCC-2504257/RI063</t>
        </is>
      </c>
      <c r="C51" s="220" t="n">
        <v>6460</v>
      </c>
      <c r="D51" s="220" t="n">
        <v>365</v>
      </c>
      <c r="E51" s="220" t="n">
        <v>169</v>
      </c>
      <c r="F51" s="220" t="n">
        <v>3468.93</v>
      </c>
      <c r="G51" s="220" t="n">
        <v>0</v>
      </c>
      <c r="H51" s="220" t="n">
        <v>0</v>
      </c>
    </row>
    <row r="52" ht="28" customHeight="1" s="132">
      <c r="A52" s="220" t="inlineStr">
        <is>
          <t>A41</t>
        </is>
      </c>
      <c r="B52" s="220" t="inlineStr">
        <is>
          <t>LCC-2504265/RI067</t>
        </is>
      </c>
      <c r="C52" s="220" t="n">
        <v>3400</v>
      </c>
      <c r="D52" s="220" t="n">
        <v>365</v>
      </c>
      <c r="E52" s="220" t="n">
        <v>164</v>
      </c>
      <c r="F52" s="220" t="n">
        <v>1872.33</v>
      </c>
      <c r="G52" s="220" t="n">
        <v>0</v>
      </c>
      <c r="H52" s="220" t="n">
        <v>0</v>
      </c>
    </row>
    <row r="53" ht="28" customHeight="1" s="132">
      <c r="A53" s="220" t="inlineStr">
        <is>
          <t>A42</t>
        </is>
      </c>
      <c r="B53" s="220" t="inlineStr">
        <is>
          <t>LCC-2504259/RI064</t>
        </is>
      </c>
      <c r="C53" s="220" t="n">
        <v>32660.23</v>
      </c>
      <c r="D53" s="220" t="n">
        <v>365</v>
      </c>
      <c r="E53" s="220" t="n">
        <v>185</v>
      </c>
      <c r="F53" s="220" t="n">
        <v>16106.41</v>
      </c>
      <c r="G53" s="220" t="n">
        <v>0</v>
      </c>
      <c r="H53" s="220" t="n">
        <v>0</v>
      </c>
    </row>
    <row r="54" ht="28" customHeight="1" s="132">
      <c r="A54" s="220" t="inlineStr">
        <is>
          <t>A43</t>
        </is>
      </c>
      <c r="B54" s="220" t="inlineStr">
        <is>
          <t>LCC-2504260/RI065</t>
        </is>
      </c>
      <c r="C54" s="220" t="n">
        <v>2945.25</v>
      </c>
      <c r="D54" s="220" t="n">
        <v>365</v>
      </c>
      <c r="E54" s="220" t="n">
        <v>185</v>
      </c>
      <c r="F54" s="220" t="n">
        <v>1452.45</v>
      </c>
      <c r="G54" s="220" t="n">
        <v>0</v>
      </c>
      <c r="H54" s="220" t="n">
        <v>0</v>
      </c>
    </row>
    <row r="55" ht="28" customHeight="1" s="132">
      <c r="A55" s="220" t="inlineStr">
        <is>
          <t>A44</t>
        </is>
      </c>
      <c r="B55" s="220" t="inlineStr">
        <is>
          <t>LCC-2504273/RI074</t>
        </is>
      </c>
      <c r="C55" s="220" t="n">
        <v>12665.2</v>
      </c>
      <c r="D55" s="220" t="n">
        <v>397</v>
      </c>
      <c r="E55" s="220" t="n">
        <v>161</v>
      </c>
      <c r="F55" s="220" t="n">
        <v>7528.94</v>
      </c>
      <c r="G55" s="220" t="n">
        <v>0</v>
      </c>
      <c r="H55" s="220" t="n">
        <v>0</v>
      </c>
    </row>
    <row r="56" ht="28" customHeight="1" s="132">
      <c r="A56" s="220" t="inlineStr">
        <is>
          <t>A45</t>
        </is>
      </c>
      <c r="B56" s="220" t="inlineStr">
        <is>
          <t>LCC-2504272/RI073</t>
        </is>
      </c>
      <c r="C56" s="220" t="n">
        <v>17558.62</v>
      </c>
      <c r="D56" s="220" t="n">
        <v>555</v>
      </c>
      <c r="E56" s="220" t="n">
        <v>161</v>
      </c>
      <c r="F56" s="220" t="n">
        <v>12465.04</v>
      </c>
      <c r="G56" s="220" t="n">
        <v>0</v>
      </c>
      <c r="H56" s="220" t="n">
        <v>0</v>
      </c>
    </row>
    <row r="57" ht="28" customHeight="1" s="132">
      <c r="A57" s="220" t="inlineStr">
        <is>
          <t>A46</t>
        </is>
      </c>
      <c r="B57" s="220" t="inlineStr">
        <is>
          <t>LCC-2504271/RI072</t>
        </is>
      </c>
      <c r="C57" s="220" t="n">
        <v>12990.1</v>
      </c>
      <c r="D57" s="220" t="n">
        <v>555</v>
      </c>
      <c r="E57" s="220" t="n">
        <v>161</v>
      </c>
      <c r="F57" s="220" t="n">
        <v>9221.799999999999</v>
      </c>
      <c r="G57" s="220" t="n">
        <v>0</v>
      </c>
      <c r="H57" s="220" t="n">
        <v>0</v>
      </c>
    </row>
    <row r="58" ht="28" customHeight="1" s="132">
      <c r="A58" s="220" t="inlineStr">
        <is>
          <t>A47</t>
        </is>
      </c>
      <c r="B58" s="220" t="inlineStr">
        <is>
          <t>LCC-2504267/RI071</t>
        </is>
      </c>
      <c r="C58" s="220" t="n">
        <v>6397.64</v>
      </c>
      <c r="D58" s="220" t="n">
        <v>190</v>
      </c>
      <c r="E58" s="220" t="n">
        <v>161</v>
      </c>
      <c r="F58" s="220" t="n">
        <v>976.48</v>
      </c>
      <c r="G58" s="220" t="n">
        <v>0</v>
      </c>
      <c r="H58" s="220" t="n">
        <v>0</v>
      </c>
    </row>
    <row r="59" ht="28" customHeight="1" s="132">
      <c r="A59" s="220" t="inlineStr">
        <is>
          <t>A48</t>
        </is>
      </c>
      <c r="B59" s="220" t="inlineStr">
        <is>
          <t>LCC-2504284/RI077</t>
        </is>
      </c>
      <c r="C59" s="220" t="n">
        <v>3562.81</v>
      </c>
      <c r="D59" s="220" t="n">
        <v>320</v>
      </c>
      <c r="E59" s="220" t="n">
        <v>162</v>
      </c>
      <c r="F59" s="220" t="n">
        <v>1759.14</v>
      </c>
      <c r="G59" s="220" t="n">
        <v>0</v>
      </c>
      <c r="H59" s="220" t="n">
        <v>0</v>
      </c>
    </row>
    <row r="60" ht="28" customHeight="1" s="132">
      <c r="A60" s="220" t="inlineStr">
        <is>
          <t>A49</t>
        </is>
      </c>
      <c r="B60" s="220" t="inlineStr">
        <is>
          <t>LCC-2504326/RI089</t>
        </is>
      </c>
      <c r="C60" s="220" t="n">
        <v>9000</v>
      </c>
      <c r="D60" s="220" t="n">
        <v>331</v>
      </c>
      <c r="E60" s="220" t="n">
        <v>121</v>
      </c>
      <c r="F60" s="220" t="n">
        <v>5709.97</v>
      </c>
      <c r="G60" s="220" t="n">
        <v>0</v>
      </c>
      <c r="H60" s="220" t="n">
        <v>0</v>
      </c>
    </row>
    <row r="61" ht="28" customHeight="1" s="132">
      <c r="A61" s="220" t="inlineStr">
        <is>
          <t>A50</t>
        </is>
      </c>
      <c r="B61" s="220" t="inlineStr">
        <is>
          <t>LCC-2504338/RI095</t>
        </is>
      </c>
      <c r="C61" s="220" t="n">
        <v>3527.99</v>
      </c>
      <c r="D61" s="220" t="n">
        <v>0</v>
      </c>
      <c r="E61" s="220" t="n">
        <v>93</v>
      </c>
      <c r="F61" s="220" t="n">
        <v>3527.99</v>
      </c>
      <c r="G61" s="220" t="n">
        <v>0</v>
      </c>
      <c r="H61" s="220" t="n">
        <v>0</v>
      </c>
    </row>
    <row r="62" ht="28" customHeight="1" s="132">
      <c r="A62" s="220" t="inlineStr">
        <is>
          <t>A51</t>
        </is>
      </c>
      <c r="B62" s="220" t="inlineStr">
        <is>
          <t>İSM-250090/RI097</t>
        </is>
      </c>
      <c r="C62" s="220" t="n">
        <v>55630.23</v>
      </c>
      <c r="D62" s="220" t="n">
        <v>366</v>
      </c>
      <c r="E62" s="220" t="n">
        <v>104</v>
      </c>
      <c r="F62" s="220" t="n">
        <v>39822.73</v>
      </c>
      <c r="G62" s="220" t="n">
        <v>0</v>
      </c>
      <c r="H62" s="220" t="n">
        <v>0</v>
      </c>
    </row>
    <row r="63" ht="28" customHeight="1" s="132">
      <c r="A63" s="220" t="inlineStr">
        <is>
          <t>A52</t>
        </is>
      </c>
      <c r="B63" s="220" t="inlineStr">
        <is>
          <t>İSM-250083/RI092</t>
        </is>
      </c>
      <c r="C63" s="220" t="n">
        <v>4800</v>
      </c>
      <c r="D63" s="220" t="n">
        <v>366</v>
      </c>
      <c r="E63" s="220" t="n">
        <v>102</v>
      </c>
      <c r="F63" s="220" t="n">
        <v>3462.3</v>
      </c>
      <c r="G63" s="220" t="n">
        <v>0</v>
      </c>
      <c r="H63" s="220" t="n">
        <v>0</v>
      </c>
    </row>
    <row r="64" ht="28" customHeight="1" s="132">
      <c r="A64" s="38" t="inlineStr">
        <is>
          <t>AA1</t>
        </is>
      </c>
      <c r="B64" s="29" t="inlineStr">
        <is>
          <t>Aralıq yekun</t>
        </is>
      </c>
      <c r="C64" s="222" t="n">
        <v>695508.38</v>
      </c>
      <c r="D64" s="29" t="n"/>
      <c r="E64" s="29" t="n"/>
      <c r="F64" s="222" t="n">
        <v>262227.79</v>
      </c>
      <c r="G64" s="222" t="n">
        <v>0</v>
      </c>
      <c r="H64" s="222" t="n">
        <v>0</v>
      </c>
    </row>
    <row r="65">
      <c r="A65" s="38" t="inlineStr">
        <is>
          <t>B</t>
        </is>
      </c>
      <c r="B65" s="42" t="n"/>
      <c r="C65" s="43" t="n"/>
      <c r="D65" s="42" t="inlineStr">
        <is>
          <t>II qrup təkrarsığortaçılar</t>
        </is>
      </c>
      <c r="E65" s="43" t="n"/>
      <c r="F65" s="44" t="n"/>
      <c r="G65" s="44" t="n"/>
      <c r="H65" s="44" t="n"/>
    </row>
    <row r="66" ht="28" customHeight="1" s="132">
      <c r="A66" s="220" t="inlineStr">
        <is>
          <t>B1</t>
        </is>
      </c>
      <c r="B66" s="220" t="inlineStr">
        <is>
          <t>XLA146825</t>
        </is>
      </c>
      <c r="C66" s="220" t="n">
        <v>1898.75</v>
      </c>
      <c r="D66" s="220" t="n">
        <v>365</v>
      </c>
      <c r="E66" s="220" t="n">
        <v>246</v>
      </c>
      <c r="F66" s="220" t="n">
        <v>619.04</v>
      </c>
      <c r="G66" s="220" t="n">
        <v>0</v>
      </c>
      <c r="H66" s="220" t="n">
        <v>0</v>
      </c>
    </row>
    <row r="67" ht="28" customHeight="1" s="132">
      <c r="A67" s="220" t="inlineStr">
        <is>
          <t>B2</t>
        </is>
      </c>
      <c r="B67" s="220" t="inlineStr">
        <is>
          <t>02/009/XST/2025</t>
        </is>
      </c>
      <c r="C67" s="220" t="n">
        <v>938.62</v>
      </c>
      <c r="D67" s="220" t="n">
        <v>365</v>
      </c>
      <c r="E67" s="220" t="n">
        <v>246</v>
      </c>
      <c r="F67" s="220" t="n">
        <v>306.02</v>
      </c>
      <c r="G67" s="220" t="n">
        <v>0</v>
      </c>
      <c r="H67" s="220" t="n">
        <v>0</v>
      </c>
    </row>
    <row r="68" ht="28" customHeight="1" s="132">
      <c r="A68" s="220" t="inlineStr">
        <is>
          <t>B3</t>
        </is>
      </c>
      <c r="B68" s="220" t="inlineStr">
        <is>
          <t>03/009/XST/2025</t>
        </is>
      </c>
      <c r="C68" s="220" t="n">
        <v>1999</v>
      </c>
      <c r="D68" s="220" t="n">
        <v>365</v>
      </c>
      <c r="E68" s="220" t="n">
        <v>246</v>
      </c>
      <c r="F68" s="220" t="n">
        <v>651.73</v>
      </c>
      <c r="G68" s="220" t="n">
        <v>0</v>
      </c>
      <c r="H68" s="220" t="n">
        <v>0</v>
      </c>
    </row>
    <row r="69" ht="28" customHeight="1" s="132">
      <c r="A69" s="220" t="inlineStr">
        <is>
          <t>B4</t>
        </is>
      </c>
      <c r="B69" s="220" t="inlineStr">
        <is>
          <t>LOR-25002-PR</t>
        </is>
      </c>
      <c r="C69" s="220" t="n">
        <v>5206.25</v>
      </c>
      <c r="D69" s="220" t="n">
        <v>365</v>
      </c>
      <c r="E69" s="220" t="n">
        <v>246</v>
      </c>
      <c r="F69" s="220" t="n">
        <v>1697.38</v>
      </c>
      <c r="G69" s="220" t="n">
        <v>0</v>
      </c>
      <c r="H69" s="220" t="n">
        <v>0</v>
      </c>
    </row>
    <row r="70" ht="28" customHeight="1" s="132">
      <c r="A70" s="220" t="inlineStr">
        <is>
          <t>B5</t>
        </is>
      </c>
      <c r="B70" s="220" t="inlineStr">
        <is>
          <t>LOR-25001-VG</t>
        </is>
      </c>
      <c r="C70" s="220" t="n">
        <v>3875.42</v>
      </c>
      <c r="D70" s="220" t="n">
        <v>365</v>
      </c>
      <c r="E70" s="220" t="n">
        <v>246</v>
      </c>
      <c r="F70" s="220" t="n">
        <v>1263.49</v>
      </c>
      <c r="G70" s="220" t="n">
        <v>0</v>
      </c>
      <c r="H70" s="220" t="n">
        <v>0</v>
      </c>
    </row>
    <row r="71" ht="28" customHeight="1" s="132">
      <c r="A71" s="220" t="inlineStr">
        <is>
          <t>B6</t>
        </is>
      </c>
      <c r="B71" s="220" t="inlineStr">
        <is>
          <t>LOR-25001-VG</t>
        </is>
      </c>
      <c r="C71" s="220" t="n">
        <v>2858.86</v>
      </c>
      <c r="D71" s="220" t="n">
        <v>365</v>
      </c>
      <c r="E71" s="220" t="n">
        <v>246</v>
      </c>
      <c r="F71" s="220" t="n">
        <v>932.0700000000001</v>
      </c>
      <c r="G71" s="220" t="n">
        <v>0</v>
      </c>
      <c r="H71" s="220" t="n">
        <v>0</v>
      </c>
    </row>
    <row r="72" ht="28" customHeight="1" s="132">
      <c r="A72" s="220" t="inlineStr">
        <is>
          <t>B7</t>
        </is>
      </c>
      <c r="B72" s="220" t="inlineStr">
        <is>
          <t xml:space="preserve">002/EL/2025 </t>
        </is>
      </c>
      <c r="C72" s="220" t="n">
        <v>31695.04</v>
      </c>
      <c r="D72" s="220" t="n">
        <v>365</v>
      </c>
      <c r="E72" s="220" t="n">
        <v>154</v>
      </c>
      <c r="F72" s="220" t="n">
        <v>18322.34</v>
      </c>
      <c r="G72" s="220" t="n">
        <v>0</v>
      </c>
      <c r="H72" s="220" t="n">
        <v>0</v>
      </c>
    </row>
    <row r="73" ht="28" customHeight="1" s="132">
      <c r="A73" s="220" t="inlineStr">
        <is>
          <t>B8</t>
        </is>
      </c>
      <c r="B73" s="220" t="inlineStr">
        <is>
          <t>LCC-2504250/RI061</t>
        </is>
      </c>
      <c r="C73" s="220" t="n">
        <v>2945.25</v>
      </c>
      <c r="D73" s="220" t="n">
        <v>365</v>
      </c>
      <c r="E73" s="220" t="n">
        <v>185</v>
      </c>
      <c r="F73" s="220" t="n">
        <v>1452.45</v>
      </c>
      <c r="G73" s="220" t="n">
        <v>0</v>
      </c>
      <c r="H73" s="220" t="n">
        <v>0</v>
      </c>
    </row>
    <row r="74" ht="28" customHeight="1" s="132">
      <c r="A74" s="38" t="inlineStr">
        <is>
          <t>BB1</t>
        </is>
      </c>
      <c r="B74" s="29" t="inlineStr">
        <is>
          <t>Aralıq yekun</t>
        </is>
      </c>
      <c r="C74" s="222" t="n">
        <v>51417.19</v>
      </c>
      <c r="D74" s="29" t="n"/>
      <c r="E74" s="29" t="n"/>
      <c r="F74" s="222" t="n">
        <v>25244.52</v>
      </c>
      <c r="G74" s="222" t="n">
        <v>0</v>
      </c>
      <c r="H74" s="222" t="n">
        <v>0</v>
      </c>
    </row>
    <row r="75">
      <c r="A75" s="38" t="inlineStr">
        <is>
          <t>C</t>
        </is>
      </c>
      <c r="B75" s="42" t="n"/>
      <c r="C75" s="43" t="n"/>
      <c r="D75" s="42" t="inlineStr">
        <is>
          <t>III qrup təkrarsığortaçılar</t>
        </is>
      </c>
      <c r="E75" s="43" t="n"/>
      <c r="F75" s="44" t="n"/>
      <c r="G75" s="44" t="n"/>
      <c r="H75" s="44" t="n"/>
    </row>
    <row r="76" ht="28" customHeight="1" s="132">
      <c r="A76" s="220" t="inlineStr">
        <is>
          <t>C1</t>
        </is>
      </c>
      <c r="B76" s="220" t="inlineStr">
        <is>
          <t>01/008/XST/2025</t>
        </is>
      </c>
      <c r="C76" s="220" t="n">
        <v>2322.6</v>
      </c>
      <c r="D76" s="220" t="n">
        <v>365</v>
      </c>
      <c r="E76" s="220" t="n">
        <v>246</v>
      </c>
      <c r="F76" s="220" t="n">
        <v>757.23</v>
      </c>
      <c r="G76" s="220" t="n">
        <v>0</v>
      </c>
      <c r="H76" s="220" t="n">
        <v>0</v>
      </c>
    </row>
    <row r="77" ht="28" customHeight="1" s="132">
      <c r="A77" s="220" t="inlineStr">
        <is>
          <t>C2</t>
        </is>
      </c>
      <c r="B77" s="220" t="inlineStr">
        <is>
          <t>01/009/XST/2025</t>
        </is>
      </c>
      <c r="C77" s="220" t="n">
        <v>1822.8</v>
      </c>
      <c r="D77" s="220" t="n">
        <v>365</v>
      </c>
      <c r="E77" s="220" t="n">
        <v>246</v>
      </c>
      <c r="F77" s="220" t="n">
        <v>594.28</v>
      </c>
      <c r="G77" s="220" t="n">
        <v>0</v>
      </c>
      <c r="H77" s="220" t="n">
        <v>0</v>
      </c>
    </row>
    <row r="78" ht="28" customHeight="1" s="132">
      <c r="A78" s="38" t="inlineStr">
        <is>
          <t>CC1</t>
        </is>
      </c>
      <c r="B78" s="29" t="inlineStr">
        <is>
          <t>Aralıq yekun</t>
        </is>
      </c>
      <c r="C78" s="222" t="n">
        <v>4145.4</v>
      </c>
      <c r="D78" s="29" t="n"/>
      <c r="E78" s="29" t="n"/>
      <c r="F78" s="222" t="n">
        <v>1351.51</v>
      </c>
      <c r="G78" s="222" t="n">
        <v>0</v>
      </c>
      <c r="H78" s="222" t="n">
        <v>0</v>
      </c>
    </row>
    <row r="79">
      <c r="A79" s="38" t="inlineStr">
        <is>
          <t>D</t>
        </is>
      </c>
      <c r="B79" s="42" t="n"/>
      <c r="C79" s="43" t="n"/>
      <c r="D79" s="42" t="inlineStr">
        <is>
          <t>IV qrup təkrarsığortaçılar</t>
        </is>
      </c>
      <c r="E79" s="43" t="n"/>
      <c r="F79" s="44" t="n"/>
      <c r="G79" s="44" t="n"/>
      <c r="H79" s="44" t="n"/>
    </row>
    <row r="80" ht="28" customHeight="1" s="132">
      <c r="A80" s="38" t="inlineStr">
        <is>
          <t>DD1</t>
        </is>
      </c>
      <c r="B80" s="45" t="inlineStr">
        <is>
          <t>Aralıq yekun</t>
        </is>
      </c>
      <c r="C80" s="222" t="n">
        <v>0</v>
      </c>
      <c r="D80" s="29" t="n"/>
      <c r="E80" s="29" t="n"/>
      <c r="F80" s="222" t="n">
        <v>0</v>
      </c>
      <c r="G80" s="222" t="n">
        <v>0</v>
      </c>
      <c r="H80" s="222" t="n">
        <v>0</v>
      </c>
    </row>
    <row r="81" ht="28" customHeight="1" s="132">
      <c r="A81" s="38" t="inlineStr">
        <is>
          <t>ZZ1</t>
        </is>
      </c>
      <c r="B81" s="45" t="inlineStr">
        <is>
          <t>Yekun</t>
        </is>
      </c>
      <c r="C81" s="222" t="n">
        <v>751070.97</v>
      </c>
      <c r="D81" s="29" t="n"/>
      <c r="E81" s="29" t="n"/>
      <c r="F81" s="222" t="n">
        <v>288823.82</v>
      </c>
      <c r="G81" s="238" t="n">
        <v>0</v>
      </c>
      <c r="H81" s="222" t="n">
        <v>0</v>
      </c>
    </row>
    <row r="82">
      <c r="B82" s="178" t="inlineStr">
        <is>
          <t>QEYD: II sütunda «Sığorta ehtiyatlarının formalaşdırılması Qaydaları»na 3 saylı Əlavədəki Forma № 8-4-ün IV sütunu üzrə təkrarsığortaçıların qruplarından asılı olaraq alınan məbləğlər göstərilir. 2. "Yekun" sətiri üzrə V sütunda həmin sütun üzrə əvvəlki sətirlərdəki "Aralıq yekun"ların cəmi göstərilir.</t>
        </is>
      </c>
    </row>
    <row r="83">
      <c r="B83" s="178" t="inlineStr">
        <is>
          <t> </t>
        </is>
      </c>
      <c r="F83" s="118" t="n"/>
    </row>
    <row r="84">
      <c r="B84" s="172" t="inlineStr">
        <is>
          <t>İdarə heyətinin sədri ____________________________       _____________</t>
        </is>
      </c>
      <c r="F84" s="27" t="n"/>
    </row>
    <row r="85">
      <c r="B85" s="173" t="inlineStr">
        <is>
          <t xml:space="preserve">                                     (s.a.a)                                     (imza)</t>
        </is>
      </c>
      <c r="F85" s="27" t="n"/>
    </row>
    <row r="86">
      <c r="B86" s="172" t="inlineStr">
        <is>
          <t>Baş mühasib _______________________       _____________</t>
        </is>
      </c>
      <c r="F86" s="27" t="n"/>
    </row>
    <row r="87">
      <c r="B87" s="173" t="inlineStr">
        <is>
          <t xml:space="preserve">                                    (s.a.a)                                      (imza)</t>
        </is>
      </c>
      <c r="F87" s="27" t="n"/>
    </row>
    <row r="88">
      <c r="B88" s="27" t="n"/>
      <c r="C88" s="27" t="n"/>
      <c r="D88" s="27" t="n"/>
      <c r="E88" s="26" t="inlineStr">
        <is>
          <t>M.Y.</t>
        </is>
      </c>
      <c r="F88" s="27"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E24"/>
  <sheetViews>
    <sheetView workbookViewId="0">
      <selection activeCell="E7" sqref="E7"/>
    </sheetView>
  </sheetViews>
  <sheetFormatPr baseColWidth="8" defaultRowHeight="14.4"/>
  <cols>
    <col width="8.88671875" customWidth="1" style="132" min="1" max="1"/>
    <col width="24.77734375" customWidth="1" style="132" min="2" max="2"/>
    <col width="24.44140625" customWidth="1" style="132" min="3" max="3"/>
    <col width="24.77734375" customWidth="1" style="132" min="4" max="5"/>
    <col width="8.88671875" customWidth="1" style="132" min="6" max="16384"/>
  </cols>
  <sheetData>
    <row r="1" ht="51" customHeight="1" s="132">
      <c r="B1" s="175" t="n"/>
      <c r="C1" s="32" t="n"/>
      <c r="D1" s="174" t="inlineStr">
        <is>
          <t>«Həyat sığortası və qeyri-həyat sığortası
üzrə sığorta ehtiyatlarının formalaşdırılması
Qaydaları»na Əlavə № 3</t>
        </is>
      </c>
    </row>
    <row r="2" ht="18" customHeight="1" s="132">
      <c r="B2" s="189" t="inlineStr">
        <is>
          <t>Forma № 8-6</t>
        </is>
      </c>
      <c r="C2" s="32" t="n"/>
      <c r="D2" s="200" t="n"/>
      <c r="E2" s="130" t="n"/>
    </row>
    <row r="3" ht="17.4" customHeight="1" s="132">
      <c r="B3" s="175" t="inlineStr">
        <is>
          <t>Qazanılmamış sığorta haqları ehtiyatının əlavə hissəsi</t>
        </is>
      </c>
    </row>
    <row r="4" ht="17.4" customHeight="1" s="132">
      <c r="B4" s="176" t="n">
        <v>0</v>
      </c>
    </row>
    <row r="5" ht="15.6" customHeight="1" s="132">
      <c r="B5" s="177" t="inlineStr">
        <is>
          <t xml:space="preserve">    (sığortaçının (təkrarsığortaçının)  adı)</t>
        </is>
      </c>
    </row>
    <row r="6" ht="17.4" customHeight="1" s="132">
      <c r="B6" s="11" t="n"/>
      <c r="D6" s="12" t="inlineStr">
        <is>
          <t>01.01.2026</t>
        </is>
      </c>
      <c r="E6" s="11" t="inlineStr">
        <is>
          <t xml:space="preserve"> -cı il  tarixə</t>
        </is>
      </c>
    </row>
    <row r="7" ht="17.4" customHeight="1" s="132">
      <c r="B7" s="13" t="n"/>
      <c r="C7" s="13" t="n"/>
      <c r="D7" s="13" t="n"/>
      <c r="E7" s="13" t="n"/>
    </row>
    <row r="8" ht="18" customHeight="1" s="132">
      <c r="B8" s="14" t="inlineStr">
        <is>
          <t>Sığortanın sinifi ____________________________</t>
        </is>
      </c>
      <c r="C8" s="219" t="inlineStr">
        <is>
          <t>(21)UmumiMulkiMesuliyy</t>
        </is>
      </c>
      <c r="D8" s="15" t="n"/>
      <c r="E8" s="13" t="n"/>
    </row>
    <row r="9" ht="18" customHeight="1" s="132">
      <c r="B9" s="71" t="n"/>
      <c r="C9" s="71" t="n"/>
      <c r="D9" s="71" t="n"/>
      <c r="E9" s="71" t="n"/>
    </row>
    <row r="10" ht="104.4" customHeight="1" s="132">
      <c r="B10" s="18" t="inlineStr">
        <is>
          <t>Təkrarsığortaçı-ların qrupları</t>
        </is>
      </c>
      <c r="C10" s="18" t="inlineStr">
        <is>
          <t>Qazanılmamış sığorta haqları ehtiyatının baza hissəsində təkrarsığortaçıların payı</t>
        </is>
      </c>
      <c r="D10" s="18" t="inlineStr">
        <is>
          <t>Təkrarsığortaçıların qrupları üzrə əmsallar,
%</t>
        </is>
      </c>
      <c r="E10" s="18" t="inlineStr">
        <is>
          <t>Qazanılmamış sığorta haqları ehtiyatının əlavə hissəsi (süt.2xsüt.3)</t>
        </is>
      </c>
    </row>
    <row r="11" ht="17.4" customHeight="1" s="132">
      <c r="B11" s="33" t="inlineStr">
        <is>
          <t>I</t>
        </is>
      </c>
      <c r="C11" s="19" t="inlineStr">
        <is>
          <t>II</t>
        </is>
      </c>
      <c r="D11" s="19" t="inlineStr">
        <is>
          <t>III</t>
        </is>
      </c>
      <c r="E11" s="19" t="inlineStr">
        <is>
          <t>IV</t>
        </is>
      </c>
    </row>
    <row r="12" ht="36" customHeight="1" s="132">
      <c r="A12" t="inlineStr">
        <is>
          <t>A1</t>
        </is>
      </c>
      <c r="B12" s="47" t="inlineStr">
        <is>
          <t>I qrup təkrarsığortaçılar</t>
        </is>
      </c>
      <c r="C12" s="220" t="n">
        <v>262227.79</v>
      </c>
      <c r="D12" s="50" t="n">
        <v>0</v>
      </c>
      <c r="E12" s="220" t="n">
        <v>0</v>
      </c>
    </row>
    <row r="13" ht="36" customHeight="1" s="132">
      <c r="A13" t="inlineStr">
        <is>
          <t>A2</t>
        </is>
      </c>
      <c r="B13" s="47" t="inlineStr">
        <is>
          <t>II qrup təkrarsığortaçılar</t>
        </is>
      </c>
      <c r="C13" s="220" t="n">
        <v>25244.52</v>
      </c>
      <c r="D13" s="50" t="n">
        <v>15</v>
      </c>
      <c r="E13" s="220" t="n">
        <v>3786.68</v>
      </c>
    </row>
    <row r="14" ht="36" customHeight="1" s="132">
      <c r="A14" t="inlineStr">
        <is>
          <t>A3</t>
        </is>
      </c>
      <c r="B14" s="47" t="inlineStr">
        <is>
          <t>IIIqrup təkrarsığortaçılar</t>
        </is>
      </c>
      <c r="C14" s="220" t="n">
        <v>1351.51</v>
      </c>
      <c r="D14" s="50" t="n">
        <v>25</v>
      </c>
      <c r="E14" s="220" t="n">
        <v>337.88</v>
      </c>
    </row>
    <row r="15" ht="36" customHeight="1" s="132">
      <c r="A15" t="inlineStr">
        <is>
          <t>A4</t>
        </is>
      </c>
      <c r="B15" s="47" t="inlineStr">
        <is>
          <t>IV qrup təkrarsığortaçılar</t>
        </is>
      </c>
      <c r="C15" s="220" t="n">
        <v>0</v>
      </c>
      <c r="D15" s="50" t="n">
        <v>50</v>
      </c>
      <c r="E15" s="220" t="n">
        <v>0</v>
      </c>
    </row>
    <row r="16" ht="18" customHeight="1" s="132">
      <c r="A16" t="inlineStr">
        <is>
          <t>B1</t>
        </is>
      </c>
      <c r="B16" s="49" t="inlineStr">
        <is>
          <t>Yekun QSHEƏ</t>
        </is>
      </c>
      <c r="C16" s="222" t="n">
        <v>288823.82</v>
      </c>
      <c r="D16" s="50" t="inlineStr">
        <is>
          <t>X</t>
        </is>
      </c>
      <c r="E16" s="222" t="n">
        <v>4124.56</v>
      </c>
    </row>
    <row r="17" ht="37.8" customHeight="1" s="132">
      <c r="B17" s="178" t="inlineStr">
        <is>
          <t>QEYD: II sütunda «Sığorta ehtiyatlarının formalaşdırılması Qaydaları»na 3 saylı Əlavədəki Forma № 8-5-in V sütunu üzrə alınan müvafiq "Aralıq yekun"ların məbləğləri göstərilir.</t>
        </is>
      </c>
    </row>
    <row r="18" ht="15.6" customHeight="1" s="132">
      <c r="B18" s="172" t="inlineStr">
        <is>
          <t>İdarə heyətinin sədri ____________________________       _____________</t>
        </is>
      </c>
    </row>
    <row r="19">
      <c r="B19" s="173" t="inlineStr">
        <is>
          <t xml:space="preserve">                                     (s.a.a)                                     (imza)</t>
        </is>
      </c>
    </row>
    <row r="20" ht="15.6" customHeight="1" s="132">
      <c r="B20" s="24" t="n"/>
      <c r="C20" s="130" t="n"/>
      <c r="D20" s="130" t="n"/>
      <c r="E20" s="130" t="n"/>
    </row>
    <row r="21" ht="15.6" customHeight="1" s="132">
      <c r="B21" s="172" t="inlineStr">
        <is>
          <t>Baş mühasib _______________________       _____________</t>
        </is>
      </c>
    </row>
    <row r="22">
      <c r="B22" s="173" t="inlineStr">
        <is>
          <t xml:space="preserve">                                    (s.a.a)                                      (imza)</t>
        </is>
      </c>
    </row>
    <row r="23" ht="18" customHeight="1" s="132">
      <c r="B23" s="27" t="n"/>
      <c r="C23" s="173" t="n"/>
      <c r="D23" s="27" t="n"/>
      <c r="E23" s="26" t="inlineStr">
        <is>
          <t>M.Y.</t>
        </is>
      </c>
    </row>
    <row r="24">
      <c r="B24" s="130" t="n"/>
      <c r="C24" s="130" t="n"/>
      <c r="D24" s="130" t="n"/>
      <c r="E24" s="130" t="n"/>
    </row>
  </sheetData>
  <mergeCells count="9">
    <mergeCell ref="B17:E17"/>
    <mergeCell ref="B18:E18"/>
    <mergeCell ref="B4:E4"/>
    <mergeCell ref="D1:E1"/>
    <mergeCell ref="B21:E21"/>
    <mergeCell ref="B3:E3"/>
    <mergeCell ref="B19:E19"/>
    <mergeCell ref="B5:E5"/>
    <mergeCell ref="B22:E22"/>
  </mergeCell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G44"/>
  <sheetViews>
    <sheetView workbookViewId="0">
      <selection activeCell="E6" sqref="E6"/>
    </sheetView>
  </sheetViews>
  <sheetFormatPr baseColWidth="8" defaultRowHeight="18"/>
  <cols>
    <col width="8.88671875" customWidth="1" style="71" min="1" max="1"/>
    <col width="23.21875" customWidth="1" style="71" min="2" max="2"/>
    <col width="9.44140625" customWidth="1" style="71" min="3" max="3"/>
    <col width="18.77734375" bestFit="1" customWidth="1" style="71" min="4" max="4"/>
    <col width="24.21875" customWidth="1" style="71" min="5" max="5"/>
    <col width="17.21875" customWidth="1" style="71" min="6" max="6"/>
    <col width="20" customWidth="1" style="71" min="7" max="7"/>
    <col width="8.88671875" customWidth="1" style="132" min="8" max="16384"/>
  </cols>
  <sheetData>
    <row r="1" ht="43.5" customHeight="1" s="132">
      <c r="A1" s="71" t="n"/>
      <c r="B1" s="27" t="n"/>
      <c r="C1" s="27" t="n"/>
      <c r="D1" s="27" t="n"/>
      <c r="E1" s="55" t="n"/>
      <c r="F1" s="174" t="inlineStr">
        <is>
          <t>«Həyat sığortası və qeyri-həyat sığortası
üzrə sığorta ehtiyatlarının formalaşdırılması
Qaydaları»na Əlavə № 3</t>
        </is>
      </c>
    </row>
    <row r="2" ht="20.25" customHeight="1" s="132">
      <c r="A2" s="71" t="n"/>
      <c r="B2" s="189" t="inlineStr">
        <is>
          <t>Forma № 8-3</t>
        </is>
      </c>
      <c r="C2" s="27" t="n"/>
      <c r="D2" s="27" t="n"/>
      <c r="E2" s="200" t="n"/>
      <c r="F2" s="200" t="n"/>
      <c r="G2" s="27" t="n"/>
    </row>
    <row r="3" ht="28.5" customHeight="1" s="132">
      <c r="A3" s="71" t="n"/>
      <c r="B3" s="189" t="inlineStr">
        <is>
          <t xml:space="preserve">Bildirilmiş, lakin tənzimlənməmiş zərərlər ehtiyatı </t>
        </is>
      </c>
    </row>
    <row r="4" ht="20.25" customHeight="1" s="132">
      <c r="A4" s="71" t="n"/>
      <c r="B4" s="176" t="inlineStr">
        <is>
          <t>Ateshgah</t>
        </is>
      </c>
    </row>
    <row r="5" ht="20.25" customHeight="1" s="132">
      <c r="A5" s="71" t="n"/>
      <c r="B5" s="177" t="inlineStr">
        <is>
          <t xml:space="preserve">    (sığortaçının (təkrarsığortaçının)  adı)</t>
        </is>
      </c>
    </row>
    <row r="6">
      <c r="A6" s="71" t="n"/>
      <c r="B6" s="11" t="n"/>
      <c r="C6" s="11" t="n"/>
      <c r="D6" s="12" t="inlineStr">
        <is>
          <t>01.01.2026</t>
        </is>
      </c>
      <c r="E6" s="11" t="inlineStr">
        <is>
          <t xml:space="preserve"> -cı il  tarixə</t>
        </is>
      </c>
      <c r="F6" s="11" t="n"/>
      <c r="G6" s="11" t="n"/>
    </row>
    <row r="7">
      <c r="A7" s="71" t="n"/>
      <c r="B7" s="11" t="n"/>
      <c r="C7" s="11" t="n"/>
      <c r="D7" s="12" t="n"/>
      <c r="E7" s="11" t="n"/>
      <c r="F7" s="11" t="n"/>
      <c r="G7" s="11" t="n"/>
    </row>
    <row r="8">
      <c r="A8" s="71" t="n"/>
      <c r="B8" s="14" t="inlineStr">
        <is>
          <t>Sığortanın sinifi ____________________________</t>
        </is>
      </c>
      <c r="C8" s="219" t="inlineStr">
        <is>
          <t>(21)UmumiMulkiMesuliyy</t>
        </is>
      </c>
      <c r="D8" s="13" t="n"/>
      <c r="E8" s="13" t="n"/>
      <c r="F8" s="13" t="n"/>
      <c r="G8" s="13" t="n"/>
    </row>
    <row r="10" ht="171.6" customHeight="1" s="132">
      <c r="A10" s="71" t="n"/>
      <c r="B10" s="56" t="inlineStr">
        <is>
          <t>Sığorta hadisələrinin baş verməsi və (və ya) sığorta (təkrarsığorta) müqavilələrinə vaxtından əvvəl xitam verilməsi (şərtlərinin dəyişdirilməsi) rübləri</t>
        </is>
      </c>
      <c r="C10" s="56" t="inlineStr">
        <is>
          <t>Sətrin kodu</t>
        </is>
      </c>
      <c r="D10" s="56" t="inlineStr">
        <is>
          <t>Bildirilmiş, lakin tənzimlənməmiş zərərlərin hesabat tarixinə məbləği</t>
        </is>
      </c>
      <c r="E10" s="56" t="inlineStr">
        <is>
          <t xml:space="preserve">Sığorta (təkrarsığorta) müqavilələrinə vaxtından əvvəl xitam verilməsi (şərtlərinin dəyişdirilməsi) ilə əlaqədar sığortalılara (təkrarsığortalılara) qaytarılmalı olan sığorta (təkrarsığorta) haqlarının hesabat tarixinə məbləği </t>
        </is>
      </c>
      <c r="F10" s="56" t="inlineStr">
        <is>
          <t>Zərərlərin tənzimlənməsi xərcləri (süt.3 + +süt.4) x0,03</t>
        </is>
      </c>
      <c r="G10" s="56" t="inlineStr">
        <is>
          <t>Bildirilmiş, lakin tənzimlənməmiş zərərlər ehtiyatı (süt.3+süt.4+süt.5)</t>
        </is>
      </c>
    </row>
    <row r="11">
      <c r="A11" s="71" t="n"/>
      <c r="B11" s="19" t="n">
        <v>1</v>
      </c>
      <c r="C11" s="19" t="n">
        <v>2</v>
      </c>
      <c r="D11" s="19" t="n">
        <v>3</v>
      </c>
      <c r="E11" s="19" t="n">
        <v>4</v>
      </c>
      <c r="F11" s="19" t="n">
        <v>5</v>
      </c>
      <c r="G11" s="19" t="n">
        <v>6</v>
      </c>
    </row>
    <row r="12" ht="16.5" customHeight="1" s="132">
      <c r="A12" s="57" t="inlineStr">
        <is>
          <t>C1</t>
        </is>
      </c>
      <c r="B12" s="58" t="n"/>
      <c r="C12" s="59" t="inlineStr">
        <is>
          <t>01</t>
        </is>
      </c>
      <c r="D12" s="33" t="n"/>
      <c r="E12" s="33" t="n"/>
      <c r="F12" s="33" t="n"/>
      <c r="G12" s="33" t="n"/>
    </row>
    <row r="13" ht="14.4" customHeight="1" s="132">
      <c r="A13" s="60" t="inlineStr">
        <is>
          <t>A1</t>
        </is>
      </c>
      <c r="B13" s="61" t="inlineStr">
        <is>
          <t>rüb 19</t>
        </is>
      </c>
      <c r="C13" s="62" t="inlineStr">
        <is>
          <t>02</t>
        </is>
      </c>
      <c r="D13" s="220" t="n">
        <v>0</v>
      </c>
      <c r="E13" s="63" t="n">
        <v>0</v>
      </c>
      <c r="F13" s="220" t="n">
        <v>0</v>
      </c>
      <c r="G13" s="220" t="n">
        <v>0</v>
      </c>
    </row>
    <row r="14" ht="14.4" customHeight="1" s="132">
      <c r="A14" s="60" t="inlineStr">
        <is>
          <t>A2</t>
        </is>
      </c>
      <c r="B14" s="61" t="inlineStr">
        <is>
          <t>rüb 18</t>
        </is>
      </c>
      <c r="C14" s="62" t="inlineStr">
        <is>
          <t>03</t>
        </is>
      </c>
      <c r="D14" s="220" t="n">
        <v>0</v>
      </c>
      <c r="E14" s="63" t="n">
        <v>0</v>
      </c>
      <c r="F14" s="220" t="n">
        <v>0</v>
      </c>
      <c r="G14" s="220" t="n">
        <v>0</v>
      </c>
    </row>
    <row r="15" ht="14.4" customHeight="1" s="132">
      <c r="A15" s="60" t="inlineStr">
        <is>
          <t>A3</t>
        </is>
      </c>
      <c r="B15" s="61" t="inlineStr">
        <is>
          <t>rüb 17</t>
        </is>
      </c>
      <c r="C15" s="62" t="inlineStr">
        <is>
          <t>04</t>
        </is>
      </c>
      <c r="D15" s="220" t="n">
        <v>0</v>
      </c>
      <c r="E15" s="63" t="n">
        <v>0</v>
      </c>
      <c r="F15" s="220" t="n">
        <v>0</v>
      </c>
      <c r="G15" s="220" t="n">
        <v>0</v>
      </c>
    </row>
    <row r="16" ht="14.4" customHeight="1" s="132">
      <c r="A16" s="60" t="inlineStr">
        <is>
          <t>A4</t>
        </is>
      </c>
      <c r="B16" s="61" t="inlineStr">
        <is>
          <t>rüb 16</t>
        </is>
      </c>
      <c r="C16" s="62" t="inlineStr">
        <is>
          <t>05</t>
        </is>
      </c>
      <c r="D16" s="220" t="n">
        <v>916.7</v>
      </c>
      <c r="E16" s="63" t="n">
        <v>0</v>
      </c>
      <c r="F16" s="220" t="n">
        <v>27.5</v>
      </c>
      <c r="G16" s="220" t="n">
        <v>944.2</v>
      </c>
    </row>
    <row r="17" ht="14.4" customHeight="1" s="132">
      <c r="A17" s="60" t="inlineStr">
        <is>
          <t>A5</t>
        </is>
      </c>
      <c r="B17" s="61" t="inlineStr">
        <is>
          <t>rüb 15</t>
        </is>
      </c>
      <c r="C17" s="62" t="inlineStr">
        <is>
          <t>06</t>
        </is>
      </c>
      <c r="D17" s="220" t="n">
        <v>0</v>
      </c>
      <c r="E17" s="63" t="n">
        <v>0</v>
      </c>
      <c r="F17" s="220" t="n">
        <v>0</v>
      </c>
      <c r="G17" s="220" t="n">
        <v>0</v>
      </c>
    </row>
    <row r="18" ht="14.4" customHeight="1" s="132">
      <c r="A18" s="60" t="inlineStr">
        <is>
          <t>A6</t>
        </is>
      </c>
      <c r="B18" s="61" t="inlineStr">
        <is>
          <t>rüb 14</t>
        </is>
      </c>
      <c r="C18" s="62" t="inlineStr">
        <is>
          <t>07</t>
        </is>
      </c>
      <c r="D18" s="220" t="n">
        <v>0</v>
      </c>
      <c r="E18" s="63" t="n">
        <v>0</v>
      </c>
      <c r="F18" s="220" t="n">
        <v>0</v>
      </c>
      <c r="G18" s="220" t="n">
        <v>0</v>
      </c>
    </row>
    <row r="19" ht="14.4" customHeight="1" s="132">
      <c r="A19" s="60" t="inlineStr">
        <is>
          <t>A7</t>
        </is>
      </c>
      <c r="B19" s="61" t="inlineStr">
        <is>
          <t>rüb 13</t>
        </is>
      </c>
      <c r="C19" s="62" t="inlineStr">
        <is>
          <t>08</t>
        </is>
      </c>
      <c r="D19" s="220" t="n">
        <v>0</v>
      </c>
      <c r="E19" s="63" t="n">
        <v>0</v>
      </c>
      <c r="F19" s="220" t="n">
        <v>0</v>
      </c>
      <c r="G19" s="220" t="n">
        <v>0</v>
      </c>
    </row>
    <row r="20" ht="14.4" customHeight="1" s="132">
      <c r="A20" s="60" t="inlineStr">
        <is>
          <t>A8</t>
        </is>
      </c>
      <c r="B20" s="61" t="inlineStr">
        <is>
          <t>rüb 12</t>
        </is>
      </c>
      <c r="C20" s="62" t="inlineStr">
        <is>
          <t>09</t>
        </is>
      </c>
      <c r="D20" s="220" t="n">
        <v>0</v>
      </c>
      <c r="E20" s="63" t="n">
        <v>0</v>
      </c>
      <c r="F20" s="220" t="n">
        <v>0</v>
      </c>
      <c r="G20" s="220" t="n">
        <v>0</v>
      </c>
    </row>
    <row r="21" ht="14.4" customHeight="1" s="132">
      <c r="A21" s="60" t="inlineStr">
        <is>
          <t>A9</t>
        </is>
      </c>
      <c r="B21" s="61" t="inlineStr">
        <is>
          <t>rüb 11</t>
        </is>
      </c>
      <c r="C21" s="62" t="inlineStr">
        <is>
          <t>10</t>
        </is>
      </c>
      <c r="D21" s="220" t="n">
        <v>0</v>
      </c>
      <c r="E21" s="63" t="n">
        <v>0</v>
      </c>
      <c r="F21" s="220" t="n">
        <v>0</v>
      </c>
      <c r="G21" s="220" t="n">
        <v>0</v>
      </c>
    </row>
    <row r="22" ht="14.4" customHeight="1" s="132">
      <c r="A22" s="60" t="inlineStr">
        <is>
          <t>A10</t>
        </is>
      </c>
      <c r="B22" s="61" t="inlineStr">
        <is>
          <t>rüb 10</t>
        </is>
      </c>
      <c r="C22" s="62" t="inlineStr">
        <is>
          <t>11</t>
        </is>
      </c>
      <c r="D22" s="220" t="n">
        <v>0</v>
      </c>
      <c r="E22" s="63" t="n">
        <v>0</v>
      </c>
      <c r="F22" s="220" t="n">
        <v>0</v>
      </c>
      <c r="G22" s="220" t="n">
        <v>0</v>
      </c>
    </row>
    <row r="23" ht="14.4" customHeight="1" s="132">
      <c r="A23" s="60" t="inlineStr">
        <is>
          <t>A11</t>
        </is>
      </c>
      <c r="B23" s="61" t="inlineStr">
        <is>
          <t>rüb 9</t>
        </is>
      </c>
      <c r="C23" s="62" t="inlineStr">
        <is>
          <t>12</t>
        </is>
      </c>
      <c r="D23" s="220" t="n">
        <v>0</v>
      </c>
      <c r="E23" s="63" t="n">
        <v>0</v>
      </c>
      <c r="F23" s="220" t="n">
        <v>0</v>
      </c>
      <c r="G23" s="220" t="n">
        <v>0</v>
      </c>
    </row>
    <row r="24" ht="14.4" customHeight="1" s="132">
      <c r="A24" s="60" t="inlineStr">
        <is>
          <t>A12</t>
        </is>
      </c>
      <c r="B24" s="61" t="inlineStr">
        <is>
          <t>rüb 8</t>
        </is>
      </c>
      <c r="C24" s="62" t="inlineStr">
        <is>
          <t>13</t>
        </is>
      </c>
      <c r="D24" s="220" t="n">
        <v>0</v>
      </c>
      <c r="E24" s="63" t="n">
        <v>0</v>
      </c>
      <c r="F24" s="220" t="n">
        <v>0</v>
      </c>
      <c r="G24" s="220" t="n">
        <v>0</v>
      </c>
    </row>
    <row r="25" ht="14.4" customHeight="1" s="132">
      <c r="A25" s="60" t="inlineStr">
        <is>
          <t>A13</t>
        </is>
      </c>
      <c r="B25" s="61" t="inlineStr">
        <is>
          <t>rüb 7</t>
        </is>
      </c>
      <c r="C25" s="62" t="inlineStr">
        <is>
          <t>14</t>
        </is>
      </c>
      <c r="D25" s="220" t="n">
        <v>2890</v>
      </c>
      <c r="E25" s="63" t="n">
        <v>0</v>
      </c>
      <c r="F25" s="220" t="n">
        <v>86.7</v>
      </c>
      <c r="G25" s="220" t="n">
        <v>2976.7</v>
      </c>
    </row>
    <row r="26" ht="14.4" customHeight="1" s="132">
      <c r="A26" s="60" t="inlineStr">
        <is>
          <t>A14</t>
        </is>
      </c>
      <c r="B26" s="61" t="inlineStr">
        <is>
          <t>rüb 6</t>
        </is>
      </c>
      <c r="C26" s="62" t="inlineStr">
        <is>
          <t>15</t>
        </is>
      </c>
      <c r="D26" s="220" t="n">
        <v>20150</v>
      </c>
      <c r="E26" s="63" t="n">
        <v>0</v>
      </c>
      <c r="F26" s="220" t="n">
        <v>604.5</v>
      </c>
      <c r="G26" s="220" t="n">
        <v>20754.5</v>
      </c>
    </row>
    <row r="27" ht="14.4" customHeight="1" s="132">
      <c r="A27" s="60" t="inlineStr">
        <is>
          <t>A15</t>
        </is>
      </c>
      <c r="B27" s="61" t="inlineStr">
        <is>
          <t>rüb 5</t>
        </is>
      </c>
      <c r="C27" s="62" t="inlineStr">
        <is>
          <t>16</t>
        </is>
      </c>
      <c r="D27" s="220" t="n">
        <v>0</v>
      </c>
      <c r="E27" s="63" t="n">
        <v>0</v>
      </c>
      <c r="F27" s="220" t="n">
        <v>0</v>
      </c>
      <c r="G27" s="220" t="n">
        <v>0</v>
      </c>
    </row>
    <row r="28" ht="14.4" customHeight="1" s="132">
      <c r="A28" s="60" t="inlineStr">
        <is>
          <t>A16</t>
        </is>
      </c>
      <c r="B28" s="61" t="inlineStr">
        <is>
          <t>rüb 4</t>
        </is>
      </c>
      <c r="C28" s="62" t="inlineStr">
        <is>
          <t>17</t>
        </is>
      </c>
      <c r="D28" s="220" t="n">
        <v>0</v>
      </c>
      <c r="E28" s="63" t="n">
        <v>0</v>
      </c>
      <c r="F28" s="220" t="n">
        <v>0</v>
      </c>
      <c r="G28" s="220" t="n">
        <v>0</v>
      </c>
    </row>
    <row r="29" ht="14.4" customHeight="1" s="132">
      <c r="A29" s="60" t="inlineStr">
        <is>
          <t>A17</t>
        </is>
      </c>
      <c r="B29" s="61" t="inlineStr">
        <is>
          <t>rüb 3</t>
        </is>
      </c>
      <c r="C29" s="62" t="inlineStr">
        <is>
          <t>18</t>
        </is>
      </c>
      <c r="D29" s="220" t="n">
        <v>0</v>
      </c>
      <c r="E29" s="63" t="n">
        <v>0</v>
      </c>
      <c r="F29" s="220" t="n">
        <v>0</v>
      </c>
      <c r="G29" s="220" t="n">
        <v>0</v>
      </c>
    </row>
    <row r="30" ht="14.4" customHeight="1" s="132">
      <c r="A30" s="60" t="inlineStr">
        <is>
          <t>A18</t>
        </is>
      </c>
      <c r="B30" s="61" t="inlineStr">
        <is>
          <t>rüb 2</t>
        </is>
      </c>
      <c r="C30" s="62" t="inlineStr">
        <is>
          <t>19</t>
        </is>
      </c>
      <c r="D30" s="220" t="n">
        <v>0</v>
      </c>
      <c r="E30" s="63" t="n">
        <v>0</v>
      </c>
      <c r="F30" s="220" t="n">
        <v>0</v>
      </c>
      <c r="G30" s="220" t="n">
        <v>0</v>
      </c>
    </row>
    <row r="31" ht="14.4" customHeight="1" s="132">
      <c r="A31" s="60" t="inlineStr">
        <is>
          <t>A19</t>
        </is>
      </c>
      <c r="B31" s="61" t="inlineStr">
        <is>
          <t>rüb 1</t>
        </is>
      </c>
      <c r="C31" s="62" t="inlineStr">
        <is>
          <t>20</t>
        </is>
      </c>
      <c r="D31" s="220" t="n">
        <v>100</v>
      </c>
      <c r="E31" s="63" t="n">
        <v>0</v>
      </c>
      <c r="F31" s="220" t="n">
        <v>3</v>
      </c>
      <c r="G31" s="220" t="n">
        <v>103</v>
      </c>
    </row>
    <row r="32" ht="33.75" customHeight="1" s="132">
      <c r="A32" s="60" t="inlineStr">
        <is>
          <t>A20</t>
        </is>
      </c>
      <c r="B32" s="64" t="inlineStr">
        <is>
          <t>Hesabat tarixi ilə qurtaran rüb</t>
        </is>
      </c>
      <c r="C32" s="62" t="inlineStr">
        <is>
          <t>21</t>
        </is>
      </c>
      <c r="D32" s="220" t="n">
        <v>0</v>
      </c>
      <c r="E32" s="63" t="n">
        <v>0</v>
      </c>
      <c r="F32" s="220" t="n">
        <v>0</v>
      </c>
      <c r="G32" s="220" t="n">
        <v>0</v>
      </c>
    </row>
    <row r="33" ht="15.6" customHeight="1" s="132">
      <c r="A33" s="60" t="inlineStr">
        <is>
          <t>B1</t>
        </is>
      </c>
      <c r="B33" s="65" t="inlineStr">
        <is>
          <t>Yekun BTZE</t>
        </is>
      </c>
      <c r="C33" s="62" t="inlineStr">
        <is>
          <t>X</t>
        </is>
      </c>
      <c r="D33" s="222" t="n">
        <v>24056.7</v>
      </c>
      <c r="E33" s="66" t="n">
        <v>0</v>
      </c>
      <c r="F33" s="222" t="n">
        <v>721.7</v>
      </c>
      <c r="G33" s="222" t="n">
        <v>24778.4</v>
      </c>
    </row>
    <row r="34">
      <c r="A34" s="71" t="n"/>
      <c r="B34" s="67" t="n"/>
      <c r="C34" s="79" t="n"/>
      <c r="D34" s="69" t="n"/>
      <c r="E34" s="69" t="n"/>
      <c r="F34" s="69" t="n"/>
      <c r="G34" s="70" t="n"/>
    </row>
    <row r="35" ht="66.75" customHeight="1" s="132">
      <c r="A35" s="71" t="n"/>
      <c r="B35" s="178" t="inlineStr">
        <is>
          <t>Qeyd: 1. Bu və digər formalarda "sığorta (təkrarsığorta) müqavilələri" dedikdə, sığorta müqavilələri və təkrarsığortaya qəbul edilmiş risklər üzrə təkrarsığorta müqavilələri başa düşülür. 2. Sığortaçının bu formada əks olunmayan rüblər üçün tənzimlənməmiş zərərləri və (və ya) vaxtından əvvəl xitam verilmiş sığorta (təkrarsığorta) müqavilələri olduqda bu formaya zəruri sayda rüblər əlavə edilir. 3. III və IV sütunların doldurulması üçün "Sığorta (təkrarsığorta) müqavilələrinin uçotu" və "Zərərlərin uçotu" jurnallarından istifadə edilir.</t>
        </is>
      </c>
    </row>
    <row r="36">
      <c r="A36" s="71" t="n"/>
      <c r="B36" s="172" t="inlineStr">
        <is>
          <t>İdarə heyətinin sədri ____________________________       _____________</t>
        </is>
      </c>
      <c r="F36" s="27" t="n"/>
      <c r="G36" s="27" t="n"/>
    </row>
    <row r="37">
      <c r="A37" s="71" t="n"/>
      <c r="B37" s="173" t="inlineStr">
        <is>
          <t xml:space="preserve">                                     (s.a.a)                                     (imza)</t>
        </is>
      </c>
      <c r="F37" s="27" t="n"/>
      <c r="G37" s="27" t="n"/>
    </row>
    <row r="38">
      <c r="A38" s="71" t="n"/>
      <c r="B38" s="24" t="n"/>
      <c r="C38" s="130" t="n"/>
      <c r="D38" s="130" t="n"/>
      <c r="E38" s="130" t="n"/>
      <c r="F38" s="27" t="n"/>
      <c r="G38" s="27" t="n"/>
    </row>
    <row r="39">
      <c r="A39" s="71" t="n"/>
      <c r="B39" s="172" t="inlineStr">
        <is>
          <t>Baş mühasib _______________________       _____________</t>
        </is>
      </c>
      <c r="F39" s="27" t="n"/>
      <c r="G39" s="27" t="n"/>
    </row>
    <row r="40">
      <c r="A40" s="71" t="n"/>
      <c r="B40" s="173" t="inlineStr">
        <is>
          <t xml:space="preserve">                                    (s.a.a)                                      (imza)</t>
        </is>
      </c>
      <c r="F40" s="27" t="n"/>
      <c r="G40" s="27" t="n"/>
    </row>
    <row r="41">
      <c r="A41" s="71" t="n"/>
      <c r="B41" s="27" t="n"/>
      <c r="C41" s="27" t="n"/>
      <c r="D41" s="27" t="n"/>
      <c r="E41" s="27" t="n"/>
      <c r="F41" s="26" t="inlineStr">
        <is>
          <t>M.Y.</t>
        </is>
      </c>
      <c r="G41" s="27" t="n"/>
    </row>
    <row r="42">
      <c r="A42" s="71" t="n"/>
      <c r="B42" s="27" t="n"/>
      <c r="C42" s="27" t="n"/>
      <c r="D42" s="27" t="n"/>
      <c r="E42" s="27" t="n"/>
      <c r="F42" s="27" t="n"/>
      <c r="G42" s="27" t="n"/>
    </row>
    <row r="43">
      <c r="A43" s="71" t="n"/>
      <c r="B43" s="71" t="n"/>
      <c r="C43" s="71" t="n"/>
    </row>
    <row r="44">
      <c r="A44" s="71" t="n"/>
      <c r="B44" s="71" t="n"/>
      <c r="C44" s="71" t="n"/>
    </row>
  </sheetData>
  <mergeCells count="9">
    <mergeCell ref="B3:G3"/>
    <mergeCell ref="B40:E40"/>
    <mergeCell ref="B5:G5"/>
    <mergeCell ref="B35:G35"/>
    <mergeCell ref="B39:E39"/>
    <mergeCell ref="B4:G4"/>
    <mergeCell ref="B37:E37"/>
    <mergeCell ref="F1:G1"/>
    <mergeCell ref="B36:E36"/>
  </mergeCell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G42"/>
  <sheetViews>
    <sheetView workbookViewId="0">
      <selection activeCell="E7" sqref="E7"/>
    </sheetView>
  </sheetViews>
  <sheetFormatPr baseColWidth="8" defaultColWidth="17.44140625" defaultRowHeight="14.4"/>
  <cols>
    <col width="17.44140625" customWidth="1" style="83" min="1" max="1"/>
    <col width="17.44140625" customWidth="1" style="132" min="2" max="5"/>
    <col width="26.44140625" customWidth="1" style="132" min="6" max="6"/>
    <col width="17.44140625" customWidth="1" style="132" min="7" max="7"/>
    <col width="17.44140625" customWidth="1" style="132" min="8" max="16384"/>
  </cols>
  <sheetData>
    <row r="1" ht="18.75" customHeight="1" s="132">
      <c r="A1" s="57" t="n"/>
      <c r="B1" s="27" t="n"/>
      <c r="C1" s="27" t="n"/>
      <c r="D1" s="27" t="n"/>
      <c r="E1" s="55" t="n"/>
      <c r="F1" s="174" t="inlineStr">
        <is>
          <t>«Həyat sığortası və qeyri-həyat sığortası
üzrə sığorta ehtiyatlarının formalaşdırılması
Qaydaları»na Əlavə № 3</t>
        </is>
      </c>
    </row>
    <row r="2" ht="34.8" customHeight="1" s="132">
      <c r="A2" s="57" t="n"/>
      <c r="B2" s="189" t="inlineStr">
        <is>
          <t>Forma № 8-11</t>
        </is>
      </c>
      <c r="C2" s="27" t="n"/>
      <c r="D2" s="27" t="n"/>
      <c r="E2" s="200" t="n"/>
      <c r="F2" s="200" t="n"/>
      <c r="G2" s="27" t="n"/>
    </row>
    <row r="3" ht="18.75" customHeight="1" s="132">
      <c r="A3" s="57" t="n"/>
      <c r="B3" s="189" t="inlineStr">
        <is>
          <t xml:space="preserve">Bildirilmiş, lakin tənzimlənməmiş zərərlər ehtiyatında təkrarsığortaçıların payı </t>
        </is>
      </c>
    </row>
    <row r="4" ht="17.4" customHeight="1" s="132">
      <c r="A4" s="57" t="n"/>
      <c r="B4" s="192" t="inlineStr">
        <is>
          <t xml:space="preserve"> __________________________________________</t>
        </is>
      </c>
    </row>
    <row r="5" ht="15.6" customHeight="1" s="132">
      <c r="A5" s="57" t="n"/>
      <c r="B5" s="177" t="inlineStr">
        <is>
          <t xml:space="preserve">    (sığortaçının (təkrarsığortaçının)  adı)</t>
        </is>
      </c>
    </row>
    <row r="6" ht="17.4" customHeight="1" s="132">
      <c r="A6" s="57" t="n"/>
      <c r="B6" s="75" t="n"/>
      <c r="C6" s="75" t="n"/>
      <c r="D6" s="12" t="inlineStr">
        <is>
          <t>01.01.2026</t>
        </is>
      </c>
      <c r="E6" s="11" t="inlineStr">
        <is>
          <t xml:space="preserve"> -cı il  tarixə</t>
        </is>
      </c>
      <c r="G6" s="75" t="n"/>
    </row>
    <row r="7" ht="17.4" customHeight="1" s="132">
      <c r="A7" s="57" t="n"/>
      <c r="B7" s="75" t="n"/>
      <c r="C7" s="75" t="n"/>
      <c r="D7" s="75" t="n"/>
      <c r="E7" s="12" t="n"/>
      <c r="F7" s="11" t="n"/>
      <c r="G7" s="75" t="n"/>
    </row>
    <row r="8" ht="18" customHeight="1" s="132">
      <c r="A8" s="57" t="n"/>
      <c r="B8" s="14" t="inlineStr">
        <is>
          <t>Sığortanın sinifi ____________________________</t>
        </is>
      </c>
      <c r="C8" s="219" t="inlineStr">
        <is>
          <t>(21)UmumiMulkiMesuliyy</t>
        </is>
      </c>
      <c r="D8" s="15" t="n"/>
      <c r="E8" s="76" t="n"/>
      <c r="F8" s="76" t="n"/>
      <c r="G8" s="76" t="n"/>
    </row>
    <row r="10" ht="156" customHeight="1" s="132">
      <c r="A10" s="57" t="n"/>
      <c r="B10" s="56" t="inlineStr">
        <is>
          <t>Sığorta hadisələrinin baş verməsi və (və ya) təkrarsığorta müqavilələrinə vaxtından əvvəl xitam verilməsi (şərtlərinin dəyişdirilməsi) rübləri</t>
        </is>
      </c>
      <c r="C10" s="56" t="inlineStr">
        <is>
          <t>Sətrin kodu</t>
        </is>
      </c>
      <c r="D10" s="56" t="inlineStr">
        <is>
          <t>Bildirilmiş, lakin tənzimlənməmiş zərərlərin hesabat tarixinə məbləği</t>
        </is>
      </c>
      <c r="E10" s="56" t="inlineStr">
        <is>
          <t>Bildirilmiş, lakin tənzimlənməmiş zərərlərdə təkrarsığortalının payı</t>
        </is>
      </c>
      <c r="F10" s="56" t="inlineStr">
        <is>
          <t xml:space="preserve">Təkrarsığorta müqavilələrinə vaxtından əvvəl xitam verilməsi (şərtlərinin dəyişdirilməsi) ilə əlaqədar təkrarsığortalılara qaytarılmalı olan təkrarsığorta haqlarının hesabat tarixinə məbləği </t>
        </is>
      </c>
      <c r="G10" s="56" t="inlineStr">
        <is>
          <t>Bildirilmiş, lakin tənzimlənməmiş zərərlər ehtiyatında təkrarsığortaçıların payı
(süt.3-süt.4+süt.5)</t>
        </is>
      </c>
    </row>
    <row r="11" ht="17.4" customHeight="1" s="132">
      <c r="A11" s="57" t="n"/>
      <c r="B11" s="33" t="n">
        <v>1</v>
      </c>
      <c r="C11" s="33" t="n">
        <v>2</v>
      </c>
      <c r="D11" s="33" t="n">
        <v>3</v>
      </c>
      <c r="E11" s="33" t="n">
        <v>4</v>
      </c>
      <c r="F11" s="33" t="n">
        <v>5</v>
      </c>
      <c r="G11" s="33" t="n">
        <v>6</v>
      </c>
    </row>
    <row r="12" ht="18" customHeight="1" s="132">
      <c r="A12" s="77" t="inlineStr">
        <is>
          <t>C1</t>
        </is>
      </c>
      <c r="B12" s="33" t="n"/>
      <c r="C12" s="72" t="inlineStr">
        <is>
          <t>01</t>
        </is>
      </c>
      <c r="D12" s="33" t="n"/>
      <c r="E12" s="33" t="n"/>
      <c r="F12" s="33" t="n"/>
      <c r="G12" s="33" t="n"/>
    </row>
    <row r="13" ht="18" customHeight="1" s="132">
      <c r="A13" s="51" t="inlineStr">
        <is>
          <t>A1</t>
        </is>
      </c>
      <c r="B13" s="52" t="inlineStr">
        <is>
          <t>rüb 19</t>
        </is>
      </c>
      <c r="C13" s="53" t="inlineStr">
        <is>
          <t>02</t>
        </is>
      </c>
      <c r="D13" s="239" t="n">
        <v>0</v>
      </c>
      <c r="E13" s="239" t="n">
        <v>0</v>
      </c>
      <c r="F13" s="82" t="n">
        <v>0</v>
      </c>
      <c r="G13" s="239" t="n">
        <v>0</v>
      </c>
    </row>
    <row r="14" ht="18" customHeight="1" s="132">
      <c r="A14" s="51" t="inlineStr">
        <is>
          <t>A2</t>
        </is>
      </c>
      <c r="B14" s="52" t="inlineStr">
        <is>
          <t>rüb 18</t>
        </is>
      </c>
      <c r="C14" s="53" t="inlineStr">
        <is>
          <t>03</t>
        </is>
      </c>
      <c r="D14" s="239" t="n">
        <v>0</v>
      </c>
      <c r="E14" s="239" t="n">
        <v>0</v>
      </c>
      <c r="F14" s="82" t="n">
        <v>0</v>
      </c>
      <c r="G14" s="239" t="n">
        <v>0</v>
      </c>
    </row>
    <row r="15" ht="18" customHeight="1" s="132">
      <c r="A15" s="51" t="inlineStr">
        <is>
          <t>A3</t>
        </is>
      </c>
      <c r="B15" s="52" t="inlineStr">
        <is>
          <t>rüb 17</t>
        </is>
      </c>
      <c r="C15" s="53" t="inlineStr">
        <is>
          <t>04</t>
        </is>
      </c>
      <c r="D15" s="239" t="n">
        <v>0</v>
      </c>
      <c r="E15" s="239" t="n">
        <v>0</v>
      </c>
      <c r="F15" s="82" t="n">
        <v>0</v>
      </c>
      <c r="G15" s="239" t="n">
        <v>0</v>
      </c>
    </row>
    <row r="16" ht="18" customHeight="1" s="132">
      <c r="A16" s="51" t="inlineStr">
        <is>
          <t>A4</t>
        </is>
      </c>
      <c r="B16" s="52" t="inlineStr">
        <is>
          <t>rüb 16</t>
        </is>
      </c>
      <c r="C16" s="53" t="inlineStr">
        <is>
          <t>05</t>
        </is>
      </c>
      <c r="D16" s="239" t="n">
        <v>916.7</v>
      </c>
      <c r="E16" s="239" t="n">
        <v>916.7</v>
      </c>
      <c r="F16" s="82" t="n">
        <v>0</v>
      </c>
      <c r="G16" s="239" t="n">
        <v>0</v>
      </c>
    </row>
    <row r="17" ht="18" customHeight="1" s="132">
      <c r="A17" s="51" t="inlineStr">
        <is>
          <t>A5</t>
        </is>
      </c>
      <c r="B17" s="52" t="inlineStr">
        <is>
          <t>rüb 15</t>
        </is>
      </c>
      <c r="C17" s="53" t="inlineStr">
        <is>
          <t>06</t>
        </is>
      </c>
      <c r="D17" s="239" t="n">
        <v>0</v>
      </c>
      <c r="E17" s="239" t="n">
        <v>0</v>
      </c>
      <c r="F17" s="82" t="n">
        <v>0</v>
      </c>
      <c r="G17" s="239" t="n">
        <v>0</v>
      </c>
    </row>
    <row r="18" ht="18" customHeight="1" s="132">
      <c r="A18" s="51" t="inlineStr">
        <is>
          <t>A6</t>
        </is>
      </c>
      <c r="B18" s="52" t="inlineStr">
        <is>
          <t>rüb 14</t>
        </is>
      </c>
      <c r="C18" s="53" t="inlineStr">
        <is>
          <t>07</t>
        </is>
      </c>
      <c r="D18" s="239" t="n">
        <v>0</v>
      </c>
      <c r="E18" s="239" t="n">
        <v>0</v>
      </c>
      <c r="F18" s="82" t="n">
        <v>0</v>
      </c>
      <c r="G18" s="239" t="n">
        <v>0</v>
      </c>
    </row>
    <row r="19" ht="18" customHeight="1" s="132">
      <c r="A19" s="51" t="inlineStr">
        <is>
          <t>A7</t>
        </is>
      </c>
      <c r="B19" s="52" t="inlineStr">
        <is>
          <t>rüb 13</t>
        </is>
      </c>
      <c r="C19" s="53" t="inlineStr">
        <is>
          <t>08</t>
        </is>
      </c>
      <c r="D19" s="239" t="n">
        <v>0</v>
      </c>
      <c r="E19" s="239" t="n">
        <v>0</v>
      </c>
      <c r="F19" s="82" t="n">
        <v>0</v>
      </c>
      <c r="G19" s="239" t="n">
        <v>0</v>
      </c>
    </row>
    <row r="20" ht="18" customHeight="1" s="132">
      <c r="A20" s="51" t="inlineStr">
        <is>
          <t>A8</t>
        </is>
      </c>
      <c r="B20" s="52" t="inlineStr">
        <is>
          <t>rüb 12</t>
        </is>
      </c>
      <c r="C20" s="53" t="inlineStr">
        <is>
          <t>09</t>
        </is>
      </c>
      <c r="D20" s="239" t="n">
        <v>0</v>
      </c>
      <c r="E20" s="239" t="n">
        <v>0</v>
      </c>
      <c r="F20" s="82" t="n">
        <v>0</v>
      </c>
      <c r="G20" s="239" t="n">
        <v>0</v>
      </c>
    </row>
    <row r="21" ht="18" customHeight="1" s="132">
      <c r="A21" s="51" t="inlineStr">
        <is>
          <t>A9</t>
        </is>
      </c>
      <c r="B21" s="52" t="inlineStr">
        <is>
          <t>rüb 11</t>
        </is>
      </c>
      <c r="C21" s="53" t="inlineStr">
        <is>
          <t>10</t>
        </is>
      </c>
      <c r="D21" s="239" t="n">
        <v>0</v>
      </c>
      <c r="E21" s="239" t="n">
        <v>0</v>
      </c>
      <c r="F21" s="82" t="n">
        <v>0</v>
      </c>
      <c r="G21" s="239" t="n">
        <v>0</v>
      </c>
    </row>
    <row r="22" ht="18" customHeight="1" s="132">
      <c r="A22" s="51" t="inlineStr">
        <is>
          <t>A10</t>
        </is>
      </c>
      <c r="B22" s="52" t="inlineStr">
        <is>
          <t>rüb 10</t>
        </is>
      </c>
      <c r="C22" s="53" t="inlineStr">
        <is>
          <t>11</t>
        </is>
      </c>
      <c r="D22" s="239" t="n">
        <v>0</v>
      </c>
      <c r="E22" s="239" t="n">
        <v>0</v>
      </c>
      <c r="F22" s="82" t="n">
        <v>0</v>
      </c>
      <c r="G22" s="239" t="n">
        <v>0</v>
      </c>
    </row>
    <row r="23" ht="18" customHeight="1" s="132">
      <c r="A23" s="51" t="inlineStr">
        <is>
          <t>A11</t>
        </is>
      </c>
      <c r="B23" s="52" t="inlineStr">
        <is>
          <t>rüb 9</t>
        </is>
      </c>
      <c r="C23" s="53" t="inlineStr">
        <is>
          <t>12</t>
        </is>
      </c>
      <c r="D23" s="239" t="n">
        <v>0</v>
      </c>
      <c r="E23" s="239" t="n">
        <v>0</v>
      </c>
      <c r="F23" s="82" t="n">
        <v>0</v>
      </c>
      <c r="G23" s="239" t="n">
        <v>0</v>
      </c>
    </row>
    <row r="24" ht="18" customHeight="1" s="132">
      <c r="A24" s="51" t="inlineStr">
        <is>
          <t>A12</t>
        </is>
      </c>
      <c r="B24" s="52" t="inlineStr">
        <is>
          <t>rüb 8</t>
        </is>
      </c>
      <c r="C24" s="53" t="inlineStr">
        <is>
          <t>13</t>
        </is>
      </c>
      <c r="D24" s="239" t="n">
        <v>0</v>
      </c>
      <c r="E24" s="239" t="n">
        <v>0</v>
      </c>
      <c r="F24" s="82" t="n">
        <v>0</v>
      </c>
      <c r="G24" s="239" t="n">
        <v>0</v>
      </c>
    </row>
    <row r="25" ht="18" customHeight="1" s="132">
      <c r="A25" s="51" t="inlineStr">
        <is>
          <t>A13</t>
        </is>
      </c>
      <c r="B25" s="52" t="inlineStr">
        <is>
          <t>rüb 7</t>
        </is>
      </c>
      <c r="C25" s="53" t="inlineStr">
        <is>
          <t>14</t>
        </is>
      </c>
      <c r="D25" s="239" t="n">
        <v>2890</v>
      </c>
      <c r="E25" s="239" t="n">
        <v>2890</v>
      </c>
      <c r="F25" s="82" t="n">
        <v>0</v>
      </c>
      <c r="G25" s="239" t="n">
        <v>0</v>
      </c>
    </row>
    <row r="26" ht="18" customHeight="1" s="132">
      <c r="A26" s="51" t="inlineStr">
        <is>
          <t>A14</t>
        </is>
      </c>
      <c r="B26" s="52" t="inlineStr">
        <is>
          <t>rüb 6</t>
        </is>
      </c>
      <c r="C26" s="53" t="inlineStr">
        <is>
          <t>15</t>
        </is>
      </c>
      <c r="D26" s="239" t="n">
        <v>20150</v>
      </c>
      <c r="E26" s="239" t="n">
        <v>20150</v>
      </c>
      <c r="F26" s="82" t="n">
        <v>0</v>
      </c>
      <c r="G26" s="239" t="n">
        <v>0</v>
      </c>
    </row>
    <row r="27" ht="18" customHeight="1" s="132">
      <c r="A27" s="51" t="inlineStr">
        <is>
          <t>A15</t>
        </is>
      </c>
      <c r="B27" s="52" t="inlineStr">
        <is>
          <t>rüb 5</t>
        </is>
      </c>
      <c r="C27" s="53" t="inlineStr">
        <is>
          <t>16</t>
        </is>
      </c>
      <c r="D27" s="239" t="n">
        <v>0</v>
      </c>
      <c r="E27" s="239" t="n">
        <v>0</v>
      </c>
      <c r="F27" s="82" t="n">
        <v>0</v>
      </c>
      <c r="G27" s="239" t="n">
        <v>0</v>
      </c>
    </row>
    <row r="28" ht="18" customHeight="1" s="132">
      <c r="A28" s="51" t="inlineStr">
        <is>
          <t>A16</t>
        </is>
      </c>
      <c r="B28" s="52" t="inlineStr">
        <is>
          <t>rüb 4</t>
        </is>
      </c>
      <c r="C28" s="53" t="inlineStr">
        <is>
          <t>17</t>
        </is>
      </c>
      <c r="D28" s="239" t="n">
        <v>0</v>
      </c>
      <c r="E28" s="239" t="n">
        <v>0</v>
      </c>
      <c r="F28" s="82" t="n">
        <v>0</v>
      </c>
      <c r="G28" s="239" t="n">
        <v>0</v>
      </c>
    </row>
    <row r="29" ht="18" customHeight="1" s="132">
      <c r="A29" s="51" t="inlineStr">
        <is>
          <t>A17</t>
        </is>
      </c>
      <c r="B29" s="52" t="inlineStr">
        <is>
          <t>rüb 3</t>
        </is>
      </c>
      <c r="C29" s="53" t="inlineStr">
        <is>
          <t>18</t>
        </is>
      </c>
      <c r="D29" s="239" t="n">
        <v>0</v>
      </c>
      <c r="E29" s="239" t="n">
        <v>0</v>
      </c>
      <c r="F29" s="82" t="n">
        <v>0</v>
      </c>
      <c r="G29" s="239" t="n">
        <v>0</v>
      </c>
    </row>
    <row r="30" ht="18" customHeight="1" s="132">
      <c r="A30" s="51" t="inlineStr">
        <is>
          <t>A18</t>
        </is>
      </c>
      <c r="B30" s="52" t="inlineStr">
        <is>
          <t>rüb 2</t>
        </is>
      </c>
      <c r="C30" s="53" t="inlineStr">
        <is>
          <t>19</t>
        </is>
      </c>
      <c r="D30" s="239" t="n">
        <v>0</v>
      </c>
      <c r="E30" s="239" t="n">
        <v>0</v>
      </c>
      <c r="F30" s="82" t="n">
        <v>0</v>
      </c>
      <c r="G30" s="239" t="n">
        <v>0</v>
      </c>
    </row>
    <row r="31" ht="18" customHeight="1" s="132">
      <c r="A31" s="51" t="inlineStr">
        <is>
          <t>A19</t>
        </is>
      </c>
      <c r="B31" s="52" t="inlineStr">
        <is>
          <t>rüb 1</t>
        </is>
      </c>
      <c r="C31" s="53" t="inlineStr">
        <is>
          <t>20</t>
        </is>
      </c>
      <c r="D31" s="239" t="n">
        <v>100</v>
      </c>
      <c r="E31" s="239" t="n">
        <v>100</v>
      </c>
      <c r="F31" s="82" t="n">
        <v>0</v>
      </c>
      <c r="G31" s="239" t="n">
        <v>0</v>
      </c>
    </row>
    <row r="32" ht="31.2" customHeight="1" s="132">
      <c r="A32" s="51" t="inlineStr">
        <is>
          <t>A20</t>
        </is>
      </c>
      <c r="B32" s="54" t="inlineStr">
        <is>
          <t>Hesabat tarixi ilə qurtaran rüb</t>
        </is>
      </c>
      <c r="C32" s="53" t="inlineStr">
        <is>
          <t>21</t>
        </is>
      </c>
      <c r="D32" s="239" t="n">
        <v>0</v>
      </c>
      <c r="E32" s="239" t="n">
        <v>0</v>
      </c>
      <c r="F32" s="82" t="n">
        <v>0</v>
      </c>
      <c r="G32" s="239" t="n">
        <v>0</v>
      </c>
    </row>
    <row r="33" ht="18" customHeight="1" s="132">
      <c r="A33" s="73" t="inlineStr">
        <is>
          <t>B1</t>
        </is>
      </c>
      <c r="B33" s="45" t="inlineStr">
        <is>
          <t>Yekun BTZE</t>
        </is>
      </c>
      <c r="C33" s="74" t="inlineStr">
        <is>
          <t>X</t>
        </is>
      </c>
      <c r="D33" s="240" t="n">
        <v>24056.7</v>
      </c>
      <c r="E33" s="240" t="n">
        <v>24056.7</v>
      </c>
      <c r="F33" s="82" t="n">
        <v>0</v>
      </c>
      <c r="G33" s="240" t="n">
        <v>0</v>
      </c>
    </row>
    <row r="34" ht="18" customHeight="1" s="132">
      <c r="A34" s="57" t="n"/>
      <c r="B34" s="78" t="n"/>
      <c r="C34" s="79" t="n"/>
      <c r="D34" s="80" t="n"/>
      <c r="E34" s="80" t="n"/>
      <c r="F34" s="80" t="n"/>
      <c r="G34" s="81" t="n"/>
    </row>
    <row r="35" ht="15.75" customHeight="1" s="132">
      <c r="A35" s="57" t="n"/>
      <c r="B35" s="178" t="inlineStr">
        <is>
          <t>Qeyd: 1. Bu formada "təkrarsığorta müqavilələri" dedikdə, təkrarsığortaya qəbul edilmiş risklər üzrə təkrarsığorta müqavilələri başa düşülür. 2. Təkrarsığortalının bu formada əks olunmayan rüblər üçün tənzimlənməmiş zərərləri və (və ya) vaxtından əvvəl xitam verilmiş təkrarsığorta müqavilələri olduqda bu formaya zəruri sayda rüblər əlavə edilir. 3. III, IV və V sütunların doldurulması üçün "Sığorta (təkrarsığorta) müqavilələrinin uçotu" və "Zərərlərin uçotu" jurnallarından istifadə edilir.</t>
        </is>
      </c>
    </row>
    <row r="36" ht="18" customHeight="1" s="132">
      <c r="A36" s="57" t="n"/>
      <c r="B36" s="191" t="inlineStr">
        <is>
          <t>İdarə heyətinin sədri ____________________________       _____________</t>
        </is>
      </c>
      <c r="F36" s="27" t="n"/>
      <c r="G36" s="27" t="n"/>
    </row>
    <row r="37" ht="18" customHeight="1" s="132">
      <c r="A37" s="57" t="n"/>
      <c r="B37" s="173" t="inlineStr">
        <is>
          <t xml:space="preserve">                                                                    (s.a.a)                                                   (imza)</t>
        </is>
      </c>
      <c r="F37" s="27" t="n"/>
      <c r="G37" s="27" t="n"/>
    </row>
    <row r="38" ht="18" customHeight="1" s="132">
      <c r="A38" s="57" t="n"/>
      <c r="B38" s="24" t="n"/>
      <c r="C38" s="130" t="n"/>
      <c r="D38" s="130" t="n"/>
      <c r="E38" s="130" t="n"/>
      <c r="F38" s="27" t="n"/>
      <c r="G38" s="27" t="n"/>
    </row>
    <row r="39" ht="18" customHeight="1" s="132">
      <c r="A39" s="57" t="n"/>
      <c r="B39" s="191" t="inlineStr">
        <is>
          <t>Baş mühasib _______________________           _____________</t>
        </is>
      </c>
      <c r="F39" s="27" t="n"/>
      <c r="G39" s="27" t="n"/>
    </row>
    <row r="40" ht="18" customHeight="1" s="132">
      <c r="A40" s="57" t="n"/>
      <c r="B40" s="173" t="inlineStr">
        <is>
          <t xml:space="preserve">                                    (s.a.a)                                      (imza)</t>
        </is>
      </c>
      <c r="F40" s="27" t="n"/>
      <c r="G40" s="27" t="n"/>
    </row>
    <row r="41" ht="18" customHeight="1" s="132">
      <c r="A41" s="57" t="n"/>
      <c r="B41" s="27" t="n"/>
      <c r="C41" s="27" t="n"/>
      <c r="D41" s="27" t="n"/>
      <c r="E41" s="27" t="n"/>
      <c r="F41" s="26" t="inlineStr">
        <is>
          <t>M.Y.</t>
        </is>
      </c>
      <c r="G41" s="27" t="n"/>
    </row>
    <row r="42" ht="18" customHeight="1" s="132">
      <c r="B42" s="27" t="n"/>
      <c r="C42" s="27" t="n"/>
      <c r="D42" s="27" t="n"/>
      <c r="E42" s="27" t="n"/>
      <c r="F42" s="27" t="n"/>
      <c r="G42" s="27" t="n"/>
    </row>
  </sheetData>
  <mergeCells count="9">
    <mergeCell ref="B3:G3"/>
    <mergeCell ref="B40:E40"/>
    <mergeCell ref="B5:G5"/>
    <mergeCell ref="B35:G35"/>
    <mergeCell ref="B39:E39"/>
    <mergeCell ref="B4:G4"/>
    <mergeCell ref="B37:E37"/>
    <mergeCell ref="F1:G1"/>
    <mergeCell ref="B36:E36"/>
  </mergeCell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K40"/>
  <sheetViews>
    <sheetView workbookViewId="0">
      <selection activeCell="E7" sqref="E7"/>
    </sheetView>
  </sheetViews>
  <sheetFormatPr baseColWidth="8" defaultRowHeight="14.4"/>
  <cols>
    <col width="8.88671875" customWidth="1" style="132" min="1" max="1"/>
    <col width="18.21875" customWidth="1" style="132" min="2" max="2"/>
    <col width="17.77734375" customWidth="1" style="132" min="3" max="3"/>
    <col width="19.21875" customWidth="1" style="132" min="4" max="4"/>
    <col width="20.5546875" customWidth="1" style="132" min="5" max="5"/>
    <col width="20.21875" customWidth="1" style="132" min="6" max="6"/>
    <col width="18.21875" customWidth="1" style="132" min="7" max="11"/>
    <col width="8.88671875" customWidth="1" style="132" min="12" max="16384"/>
  </cols>
  <sheetData>
    <row r="1" ht="40.8" customHeight="1" s="132">
      <c r="B1" s="27" t="n"/>
      <c r="C1" s="27" t="n"/>
      <c r="D1" s="27" t="n"/>
      <c r="E1" s="27" t="n"/>
      <c r="F1" s="174" t="inlineStr">
        <is>
          <t>«Həyat sığortası və qeyri-həyat sığortası
üzrə sığorta ehtiyatlarının formalaşdırılması
Qaydaları»na Əlavə № 3</t>
        </is>
      </c>
      <c r="H1" s="174" t="n"/>
      <c r="I1" s="174" t="n"/>
      <c r="J1" s="174" t="n"/>
      <c r="K1" s="174" t="n"/>
    </row>
    <row r="2" ht="18" customHeight="1" s="132">
      <c r="B2" s="189" t="inlineStr">
        <is>
          <t>Forma № 8-7</t>
        </is>
      </c>
      <c r="C2" s="27" t="n"/>
      <c r="D2" s="27" t="n"/>
      <c r="E2" s="200" t="n"/>
      <c r="F2" s="200" t="n"/>
      <c r="G2" s="130" t="n"/>
      <c r="H2" s="130" t="n"/>
      <c r="I2" s="130" t="n"/>
      <c r="J2" s="130" t="n"/>
      <c r="K2" s="130" t="n"/>
    </row>
    <row r="3" ht="17.4" customHeight="1" s="132">
      <c r="B3" s="189" t="inlineStr">
        <is>
          <t xml:space="preserve">Qazanılmış məcmu sığorta haqları </t>
        </is>
      </c>
      <c r="H3" s="189" t="n"/>
      <c r="I3" s="189" t="n"/>
      <c r="J3" s="189" t="n"/>
      <c r="K3" s="189" t="n"/>
    </row>
    <row r="4" ht="17.4" customHeight="1" s="132">
      <c r="B4" s="176" t="n">
        <v>0</v>
      </c>
      <c r="H4" s="176" t="n"/>
      <c r="I4" s="176" t="n"/>
      <c r="J4" s="176" t="n"/>
      <c r="K4" s="176" t="n"/>
    </row>
    <row r="5" ht="15.6" customHeight="1" s="132">
      <c r="B5" s="177" t="inlineStr">
        <is>
          <t xml:space="preserve">    (sığortaçının (təkrarsığortaçının)  adı)</t>
        </is>
      </c>
      <c r="H5" s="177" t="n"/>
      <c r="I5" s="177" t="n"/>
      <c r="J5" s="177" t="n"/>
      <c r="K5" s="177" t="n"/>
    </row>
    <row r="6" ht="17.4" customHeight="1" s="132">
      <c r="B6" s="11" t="n"/>
      <c r="C6" s="11" t="n"/>
      <c r="D6" s="12" t="inlineStr">
        <is>
          <t>01.01.2026</t>
        </is>
      </c>
      <c r="E6" s="11" t="inlineStr">
        <is>
          <t xml:space="preserve"> -cı il  tarixə</t>
        </is>
      </c>
      <c r="F6" s="11" t="n"/>
      <c r="G6" s="11" t="n"/>
      <c r="H6" s="11" t="n"/>
      <c r="I6" s="11" t="n"/>
      <c r="J6" s="11" t="n"/>
      <c r="K6" s="11" t="n"/>
    </row>
    <row r="7" ht="17.4" customHeight="1" s="132">
      <c r="B7" s="13" t="n"/>
      <c r="C7" s="13" t="n"/>
      <c r="D7" s="13" t="n"/>
      <c r="E7" s="13" t="n"/>
      <c r="F7" s="13" t="n"/>
      <c r="G7" s="13" t="n"/>
      <c r="H7" s="13" t="n"/>
      <c r="I7" s="13" t="n"/>
      <c r="J7" s="13" t="n"/>
      <c r="K7" s="13" t="n"/>
    </row>
    <row r="8" ht="12.75" customHeight="1" s="132">
      <c r="B8" s="14" t="inlineStr">
        <is>
          <t>Sığortanın sinifi ____________________________</t>
        </is>
      </c>
      <c r="C8" s="219" t="inlineStr">
        <is>
          <t>(21)UmumiMulkiMesuliyy</t>
        </is>
      </c>
      <c r="D8" s="15" t="n"/>
      <c r="E8" s="13" t="n"/>
      <c r="F8" s="13" t="n"/>
      <c r="G8" s="13" t="n"/>
      <c r="H8" s="13" t="n"/>
      <c r="I8" s="13" t="n"/>
      <c r="J8" s="13" t="n"/>
      <c r="K8" s="13" t="n"/>
    </row>
    <row r="9" ht="12.75" customHeight="1" s="132">
      <c r="B9" s="14" t="n"/>
      <c r="C9" s="15" t="n"/>
      <c r="D9" s="15" t="n"/>
      <c r="E9" s="13" t="n"/>
      <c r="F9" s="13" t="n"/>
      <c r="G9" s="13" t="n"/>
      <c r="H9" s="13" t="n"/>
      <c r="I9" s="13" t="n"/>
      <c r="J9" s="13" t="n"/>
      <c r="K9" s="13" t="n"/>
    </row>
    <row r="10" ht="12.75" customHeight="1" s="132">
      <c r="B10" s="71" t="n"/>
      <c r="C10" s="71" t="n"/>
      <c r="D10" s="71" t="n"/>
      <c r="E10" s="71" t="n"/>
      <c r="F10" s="71" t="n"/>
      <c r="G10" s="71" t="n"/>
      <c r="H10" s="71" t="n"/>
      <c r="I10" s="71" t="n"/>
      <c r="J10" s="71" t="n"/>
      <c r="K10" s="71" t="n"/>
    </row>
    <row r="11" ht="132" customHeight="1" s="132">
      <c r="B11" s="18" t="inlineStr">
        <is>
          <t>Zərərlərin baş verməsi rübləri</t>
        </is>
      </c>
      <c r="C11" s="18" t="inlineStr">
        <is>
          <t>Sətrin kodu</t>
        </is>
      </c>
      <c r="D11" s="18" t="inlineStr">
        <is>
          <t>Rüb ərzində hesablanmış məcmu baza sığorta haqları</t>
        </is>
      </c>
      <c r="E11" s="18" t="inlineStr">
        <is>
          <t>Rübün əvvəlinə qazanılmamış sığorta haqları ehtiyatının baza hissəsi</t>
        </is>
      </c>
      <c r="F11" s="18" t="inlineStr">
        <is>
          <t xml:space="preserve">Rübün sonuna qazanılmamış sığorta haqları ehtiyatının baza hissəsi </t>
        </is>
      </c>
      <c r="G11" s="18" t="inlineStr">
        <is>
          <t>Rüb ərzində qazanılmış məcmu sığorta haqları (süt.III+süt.IV-süt.V)</t>
        </is>
      </c>
      <c r="H11" s="18" t="inlineStr">
        <is>
          <t>Rüb ərzində hesablanmış məcmu baza sığorta (təkrarsığorta) haqlarının katastrofik risk təminatına düşən hissəsi</t>
        </is>
      </c>
      <c r="I11" s="18" t="inlineStr">
        <is>
          <t>Rübün əvvəlinə qazanılmamış sığorta (təkrarsığorta) haqqının katastrofik risk təminatına düşən hissəsi</t>
        </is>
      </c>
      <c r="J11" s="18" t="inlineStr">
        <is>
          <t>Rübün sonuna qazanılmamış sığorta (təkrarsığorta) haqqının katastrofik risk təminatına düşən hissəsi</t>
        </is>
      </c>
      <c r="K11" s="18" t="inlineStr">
        <is>
          <t>Qazanılmış sığorta (təkrarsığorta) haqqının katastrofik risk təminatına düşən hissəsi (VII+ VIII-IX)</t>
        </is>
      </c>
    </row>
    <row r="12" ht="17.4" customHeight="1" s="132">
      <c r="B12" s="33" t="inlineStr">
        <is>
          <t>I</t>
        </is>
      </c>
      <c r="C12" s="33" t="inlineStr">
        <is>
          <t>II</t>
        </is>
      </c>
      <c r="D12" s="33" t="inlineStr">
        <is>
          <t>III</t>
        </is>
      </c>
      <c r="E12" s="33" t="inlineStr">
        <is>
          <t>IV</t>
        </is>
      </c>
      <c r="F12" s="33" t="inlineStr">
        <is>
          <t>V</t>
        </is>
      </c>
      <c r="G12" s="33" t="inlineStr">
        <is>
          <t>VI</t>
        </is>
      </c>
      <c r="H12" s="33" t="inlineStr">
        <is>
          <t>VII</t>
        </is>
      </c>
      <c r="I12" s="33" t="inlineStr">
        <is>
          <t>VIII</t>
        </is>
      </c>
      <c r="J12" s="33" t="inlineStr">
        <is>
          <t>IX</t>
        </is>
      </c>
      <c r="K12" s="33" t="inlineStr">
        <is>
          <t>X</t>
        </is>
      </c>
    </row>
    <row r="13" ht="18" customHeight="1" s="132">
      <c r="A13" t="inlineStr">
        <is>
          <t>A1</t>
        </is>
      </c>
      <c r="B13" s="89" t="inlineStr">
        <is>
          <t>rüb 1</t>
        </is>
      </c>
      <c r="C13" s="141" t="inlineStr">
        <is>
          <t>01</t>
        </is>
      </c>
      <c r="D13" s="241" t="n">
        <v>109987.04</v>
      </c>
      <c r="E13" s="241" t="n">
        <v>275504.58</v>
      </c>
      <c r="F13" s="241" t="n">
        <v>241599.44</v>
      </c>
      <c r="G13" s="241" t="n">
        <v>143892.18</v>
      </c>
      <c r="H13" s="241" t="n">
        <v>0</v>
      </c>
      <c r="I13" s="241" t="n">
        <v>0</v>
      </c>
      <c r="J13" s="241" t="n">
        <v>0</v>
      </c>
      <c r="K13" s="241" t="n">
        <v>0</v>
      </c>
    </row>
    <row r="14" ht="18" customHeight="1" s="132">
      <c r="A14" t="inlineStr">
        <is>
          <t>A2</t>
        </is>
      </c>
      <c r="B14" s="89" t="inlineStr">
        <is>
          <t>rüb 2</t>
        </is>
      </c>
      <c r="C14" s="141" t="inlineStr">
        <is>
          <t>02</t>
        </is>
      </c>
      <c r="D14" s="241" t="n">
        <v>153818.26</v>
      </c>
      <c r="E14" s="241" t="n">
        <v>241599.44</v>
      </c>
      <c r="F14" s="241" t="n">
        <v>255585.81</v>
      </c>
      <c r="G14" s="241" t="n">
        <v>139831.89</v>
      </c>
      <c r="H14" s="241" t="n">
        <v>0</v>
      </c>
      <c r="I14" s="241" t="n">
        <v>0</v>
      </c>
      <c r="J14" s="241" t="n">
        <v>0</v>
      </c>
      <c r="K14" s="241" t="n">
        <v>0</v>
      </c>
    </row>
    <row r="15" ht="18" customHeight="1" s="132">
      <c r="A15" t="inlineStr">
        <is>
          <t>A3</t>
        </is>
      </c>
      <c r="B15" s="89" t="inlineStr">
        <is>
          <t>rüb 3</t>
        </is>
      </c>
      <c r="C15" s="141" t="inlineStr">
        <is>
          <t>03</t>
        </is>
      </c>
      <c r="D15" s="241" t="n">
        <v>220743.61</v>
      </c>
      <c r="E15" s="241" t="n">
        <v>255585.81</v>
      </c>
      <c r="F15" s="241" t="n">
        <v>325321.98</v>
      </c>
      <c r="G15" s="241" t="n">
        <v>151007.44</v>
      </c>
      <c r="H15" s="241" t="n">
        <v>0</v>
      </c>
      <c r="I15" s="241" t="n">
        <v>0</v>
      </c>
      <c r="J15" s="241" t="n">
        <v>0</v>
      </c>
      <c r="K15" s="241" t="n">
        <v>0</v>
      </c>
    </row>
    <row r="16" ht="18" customHeight="1" s="132">
      <c r="A16" t="inlineStr">
        <is>
          <t>A4</t>
        </is>
      </c>
      <c r="B16" s="89" t="inlineStr">
        <is>
          <t>rüb 4</t>
        </is>
      </c>
      <c r="C16" s="141" t="inlineStr">
        <is>
          <t>04</t>
        </is>
      </c>
      <c r="D16" s="241" t="n">
        <v>198218.67</v>
      </c>
      <c r="E16" s="241" t="n">
        <v>325321.98</v>
      </c>
      <c r="F16" s="241" t="n">
        <v>350391.61</v>
      </c>
      <c r="G16" s="241" t="n">
        <v>173149.04</v>
      </c>
      <c r="H16" s="241" t="n">
        <v>0</v>
      </c>
      <c r="I16" s="241" t="n">
        <v>0</v>
      </c>
      <c r="J16" s="241" t="n">
        <v>0</v>
      </c>
      <c r="K16" s="241" t="n">
        <v>0</v>
      </c>
    </row>
    <row r="17" ht="18" customHeight="1" s="132">
      <c r="A17" t="inlineStr">
        <is>
          <t>A5</t>
        </is>
      </c>
      <c r="B17" s="89" t="inlineStr">
        <is>
          <t>rüb 5</t>
        </is>
      </c>
      <c r="C17" s="141" t="inlineStr">
        <is>
          <t>05</t>
        </is>
      </c>
      <c r="D17" s="241" t="n">
        <v>146780.06</v>
      </c>
      <c r="E17" s="241" t="n">
        <v>350391.61</v>
      </c>
      <c r="F17" s="241" t="n">
        <v>312954.87</v>
      </c>
      <c r="G17" s="241" t="n">
        <v>184216.8</v>
      </c>
      <c r="H17" s="241" t="n">
        <v>0</v>
      </c>
      <c r="I17" s="241" t="n">
        <v>0</v>
      </c>
      <c r="J17" s="241" t="n">
        <v>0</v>
      </c>
      <c r="K17" s="241" t="n">
        <v>0</v>
      </c>
    </row>
    <row r="18" ht="18" customHeight="1" s="132">
      <c r="A18" t="inlineStr">
        <is>
          <t>A6</t>
        </is>
      </c>
      <c r="B18" s="89" t="inlineStr">
        <is>
          <t>rüb 6</t>
        </is>
      </c>
      <c r="C18" s="141" t="inlineStr">
        <is>
          <t>06</t>
        </is>
      </c>
      <c r="D18" s="241" t="n">
        <v>138295.43</v>
      </c>
      <c r="E18" s="241" t="n">
        <v>312954.87</v>
      </c>
      <c r="F18" s="241" t="n">
        <v>270095.06</v>
      </c>
      <c r="G18" s="241" t="n">
        <v>181155.24</v>
      </c>
      <c r="H18" s="241" t="n">
        <v>0</v>
      </c>
      <c r="I18" s="241" t="n">
        <v>0</v>
      </c>
      <c r="J18" s="241" t="n">
        <v>0</v>
      </c>
      <c r="K18" s="241" t="n">
        <v>0</v>
      </c>
    </row>
    <row r="19" ht="18" customHeight="1" s="132">
      <c r="A19" t="inlineStr">
        <is>
          <t>A7</t>
        </is>
      </c>
      <c r="B19" s="89" t="inlineStr">
        <is>
          <t>rüb 7</t>
        </is>
      </c>
      <c r="C19" s="141" t="inlineStr">
        <is>
          <t>07</t>
        </is>
      </c>
      <c r="D19" s="241" t="n">
        <v>155586.07</v>
      </c>
      <c r="E19" s="241" t="n">
        <v>270095.06</v>
      </c>
      <c r="F19" s="241" t="n">
        <v>265757.57</v>
      </c>
      <c r="G19" s="241" t="n">
        <v>159923.56</v>
      </c>
      <c r="H19" s="241" t="n">
        <v>0</v>
      </c>
      <c r="I19" s="241" t="n">
        <v>0</v>
      </c>
      <c r="J19" s="241" t="n">
        <v>0</v>
      </c>
      <c r="K19" s="241" t="n">
        <v>0</v>
      </c>
    </row>
    <row r="20" ht="18" customHeight="1" s="132">
      <c r="A20" t="inlineStr">
        <is>
          <t>A8</t>
        </is>
      </c>
      <c r="B20" s="89" t="inlineStr">
        <is>
          <t>rüb 8</t>
        </is>
      </c>
      <c r="C20" s="141" t="inlineStr">
        <is>
          <t>08</t>
        </is>
      </c>
      <c r="D20" s="241" t="n">
        <v>245959.4</v>
      </c>
      <c r="E20" s="241" t="n">
        <v>265757.57</v>
      </c>
      <c r="F20" s="241" t="n">
        <v>337547.61</v>
      </c>
      <c r="G20" s="241" t="n">
        <v>174169.36</v>
      </c>
      <c r="H20" s="241" t="n">
        <v>0</v>
      </c>
      <c r="I20" s="241" t="n">
        <v>0</v>
      </c>
      <c r="J20" s="241" t="n">
        <v>0</v>
      </c>
      <c r="K20" s="241" t="n">
        <v>0</v>
      </c>
    </row>
    <row r="21" ht="18" customHeight="1" s="132">
      <c r="A21" t="inlineStr">
        <is>
          <t>A9</t>
        </is>
      </c>
      <c r="B21" s="89" t="inlineStr">
        <is>
          <t>rüb 9</t>
        </is>
      </c>
      <c r="C21" s="141" t="inlineStr">
        <is>
          <t>09</t>
        </is>
      </c>
      <c r="D21" s="241" t="n">
        <v>171158.76</v>
      </c>
      <c r="E21" s="241" t="n">
        <v>337547.61</v>
      </c>
      <c r="F21" s="241" t="n">
        <v>332586.5</v>
      </c>
      <c r="G21" s="241" t="n">
        <v>176119.87</v>
      </c>
      <c r="H21" s="241" t="n">
        <v>0</v>
      </c>
      <c r="I21" s="241" t="n">
        <v>0</v>
      </c>
      <c r="J21" s="241" t="n">
        <v>0</v>
      </c>
      <c r="K21" s="241" t="n">
        <v>0</v>
      </c>
    </row>
    <row r="22" ht="18" customHeight="1" s="132">
      <c r="A22" t="inlineStr">
        <is>
          <t>A10</t>
        </is>
      </c>
      <c r="B22" s="89" t="inlineStr">
        <is>
          <t>rüb 10</t>
        </is>
      </c>
      <c r="C22" s="141" t="inlineStr">
        <is>
          <t>10</t>
        </is>
      </c>
      <c r="D22" s="241" t="n">
        <v>196409.63</v>
      </c>
      <c r="E22" s="241" t="n">
        <v>332586.5</v>
      </c>
      <c r="F22" s="241" t="n">
        <v>329158.22</v>
      </c>
      <c r="G22" s="241" t="n">
        <v>199837.91</v>
      </c>
      <c r="H22" s="241" t="n">
        <v>0</v>
      </c>
      <c r="I22" s="241" t="n">
        <v>0</v>
      </c>
      <c r="J22" s="241" t="n">
        <v>0</v>
      </c>
      <c r="K22" s="241" t="n">
        <v>0</v>
      </c>
    </row>
    <row r="23" ht="18" customHeight="1" s="132">
      <c r="A23" t="inlineStr">
        <is>
          <t>A11</t>
        </is>
      </c>
      <c r="B23" s="89" t="inlineStr">
        <is>
          <t>rüb 11</t>
        </is>
      </c>
      <c r="C23" s="141" t="inlineStr">
        <is>
          <t>11</t>
        </is>
      </c>
      <c r="D23" s="241" t="n">
        <v>152787.98</v>
      </c>
      <c r="E23" s="241" t="n">
        <v>329158.22</v>
      </c>
      <c r="F23" s="241" t="n">
        <v>292139.19</v>
      </c>
      <c r="G23" s="241" t="n">
        <v>189807.01</v>
      </c>
      <c r="H23" s="241" t="n">
        <v>0</v>
      </c>
      <c r="I23" s="241" t="n">
        <v>0</v>
      </c>
      <c r="J23" s="241" t="n">
        <v>0</v>
      </c>
      <c r="K23" s="241" t="n">
        <v>0</v>
      </c>
    </row>
    <row r="24" ht="18" customHeight="1" s="132">
      <c r="A24" t="inlineStr">
        <is>
          <t>A12</t>
        </is>
      </c>
      <c r="B24" s="89" t="inlineStr">
        <is>
          <t>rüb 12</t>
        </is>
      </c>
      <c r="C24" s="141" t="inlineStr">
        <is>
          <t>12</t>
        </is>
      </c>
      <c r="D24" s="241" t="n">
        <v>252076.56</v>
      </c>
      <c r="E24" s="241" t="n">
        <v>292139.19</v>
      </c>
      <c r="F24" s="241" t="n">
        <v>341023.99</v>
      </c>
      <c r="G24" s="241" t="n">
        <v>203191.76</v>
      </c>
      <c r="H24" s="241" t="n">
        <v>0</v>
      </c>
      <c r="I24" s="241" t="n">
        <v>0</v>
      </c>
      <c r="J24" s="241" t="n">
        <v>0</v>
      </c>
      <c r="K24" s="241" t="n">
        <v>0</v>
      </c>
    </row>
    <row r="25" ht="18" customHeight="1" s="132">
      <c r="A25" t="inlineStr">
        <is>
          <t>A13</t>
        </is>
      </c>
      <c r="B25" s="89" t="inlineStr">
        <is>
          <t>rüb 13</t>
        </is>
      </c>
      <c r="C25" s="141" t="inlineStr">
        <is>
          <t>13</t>
        </is>
      </c>
      <c r="D25" s="241" t="n">
        <v>104858.8</v>
      </c>
      <c r="E25" s="241" t="n">
        <v>341023.99</v>
      </c>
      <c r="F25" s="241" t="n">
        <v>284298.24</v>
      </c>
      <c r="G25" s="241" t="n">
        <v>161584.55</v>
      </c>
      <c r="H25" s="241" t="n">
        <v>0</v>
      </c>
      <c r="I25" s="241" t="n">
        <v>0</v>
      </c>
      <c r="J25" s="241" t="n">
        <v>0</v>
      </c>
      <c r="K25" s="241" t="n">
        <v>0</v>
      </c>
    </row>
    <row r="26" ht="18" customHeight="1" s="132">
      <c r="A26" t="inlineStr">
        <is>
          <t>A14</t>
        </is>
      </c>
      <c r="B26" s="89" t="inlineStr">
        <is>
          <t>rüb 14</t>
        </is>
      </c>
      <c r="C26" s="141" t="inlineStr">
        <is>
          <t>14</t>
        </is>
      </c>
      <c r="D26" s="241" t="n">
        <v>133620.89</v>
      </c>
      <c r="E26" s="241" t="n">
        <v>284298.24</v>
      </c>
      <c r="F26" s="241" t="n">
        <v>261526.15</v>
      </c>
      <c r="G26" s="241" t="n">
        <v>156392.98</v>
      </c>
      <c r="H26" s="241" t="n">
        <v>0</v>
      </c>
      <c r="I26" s="241" t="n">
        <v>0</v>
      </c>
      <c r="J26" s="241" t="n">
        <v>0</v>
      </c>
      <c r="K26" s="241" t="n">
        <v>0</v>
      </c>
    </row>
    <row r="27" ht="18" customHeight="1" s="132">
      <c r="A27" t="inlineStr">
        <is>
          <t>A15</t>
        </is>
      </c>
      <c r="B27" s="89" t="inlineStr">
        <is>
          <t>rüb 15</t>
        </is>
      </c>
      <c r="C27" s="141" t="inlineStr">
        <is>
          <t>15</t>
        </is>
      </c>
      <c r="D27" s="241" t="n">
        <v>111388.54</v>
      </c>
      <c r="E27" s="241" t="n">
        <v>261526.15</v>
      </c>
      <c r="F27" s="241" t="n">
        <v>227108.84</v>
      </c>
      <c r="G27" s="241" t="n">
        <v>145805.85</v>
      </c>
      <c r="H27" s="241" t="n">
        <v>0</v>
      </c>
      <c r="I27" s="241" t="n">
        <v>0</v>
      </c>
      <c r="J27" s="241" t="n">
        <v>0</v>
      </c>
      <c r="K27" s="241" t="n">
        <v>0</v>
      </c>
    </row>
    <row r="28" ht="18" customHeight="1" s="132">
      <c r="A28" t="inlineStr">
        <is>
          <t>A16</t>
        </is>
      </c>
      <c r="B28" s="89" t="inlineStr">
        <is>
          <t>rüb 16</t>
        </is>
      </c>
      <c r="C28" s="141" t="inlineStr">
        <is>
          <t>16</t>
        </is>
      </c>
      <c r="D28" s="241" t="n">
        <v>377961.39</v>
      </c>
      <c r="E28" s="241" t="n">
        <v>227108.84</v>
      </c>
      <c r="F28" s="241" t="n">
        <v>371748.84</v>
      </c>
      <c r="G28" s="241" t="n">
        <v>233321.39</v>
      </c>
      <c r="H28" s="241" t="n">
        <v>0</v>
      </c>
      <c r="I28" s="241" t="n">
        <v>0</v>
      </c>
      <c r="J28" s="241" t="n">
        <v>0</v>
      </c>
      <c r="K28" s="241" t="n">
        <v>0</v>
      </c>
    </row>
    <row r="29" ht="18" customHeight="1" s="132">
      <c r="A29" t="inlineStr">
        <is>
          <t>A17</t>
        </is>
      </c>
      <c r="B29" s="89" t="inlineStr">
        <is>
          <t>rüb 17</t>
        </is>
      </c>
      <c r="C29" s="141" t="inlineStr">
        <is>
          <t>17</t>
        </is>
      </c>
      <c r="D29" s="241" t="n">
        <v>187356.15</v>
      </c>
      <c r="E29" s="241" t="n">
        <v>371748.84</v>
      </c>
      <c r="F29" s="241" t="n">
        <v>370089.24</v>
      </c>
      <c r="G29" s="241" t="n">
        <v>189015.75</v>
      </c>
      <c r="H29" s="241" t="n">
        <v>0</v>
      </c>
      <c r="I29" s="241" t="n">
        <v>0</v>
      </c>
      <c r="J29" s="241" t="n">
        <v>0</v>
      </c>
      <c r="K29" s="241" t="n">
        <v>0</v>
      </c>
    </row>
    <row r="30" ht="18" customHeight="1" s="132">
      <c r="A30" t="inlineStr">
        <is>
          <t>A18</t>
        </is>
      </c>
      <c r="B30" s="89" t="inlineStr">
        <is>
          <t>rüb 18</t>
        </is>
      </c>
      <c r="C30" s="141" t="inlineStr">
        <is>
          <t>18</t>
        </is>
      </c>
      <c r="D30" s="241" t="n">
        <v>304272.44</v>
      </c>
      <c r="E30" s="241" t="n">
        <v>370089.24</v>
      </c>
      <c r="F30" s="241" t="n">
        <v>483168.86</v>
      </c>
      <c r="G30" s="241" t="n">
        <v>191192.82</v>
      </c>
      <c r="H30" s="241" t="n">
        <v>0</v>
      </c>
      <c r="I30" s="241" t="n">
        <v>0</v>
      </c>
      <c r="J30" s="241" t="n">
        <v>0</v>
      </c>
      <c r="K30" s="241" t="n">
        <v>0</v>
      </c>
    </row>
    <row r="31" ht="18" customHeight="1" s="132">
      <c r="A31" t="inlineStr">
        <is>
          <t>A19</t>
        </is>
      </c>
      <c r="B31" s="89" t="inlineStr">
        <is>
          <t>rüb 19</t>
        </is>
      </c>
      <c r="C31" s="141" t="inlineStr">
        <is>
          <t>19</t>
        </is>
      </c>
      <c r="D31" s="241" t="n">
        <v>418808.7700000004</v>
      </c>
      <c r="E31" s="241" t="n">
        <v>483168.86</v>
      </c>
      <c r="F31" s="241" t="n">
        <v>606887.25</v>
      </c>
      <c r="G31" s="241" t="n">
        <v>295090.38</v>
      </c>
      <c r="H31" s="241" t="n">
        <v>0</v>
      </c>
      <c r="I31" s="241" t="n">
        <v>0</v>
      </c>
      <c r="J31" s="241" t="n">
        <v>0</v>
      </c>
      <c r="K31" s="241" t="n">
        <v>0</v>
      </c>
    </row>
    <row r="32" ht="61.5" customHeight="1" s="132">
      <c r="A32" t="inlineStr">
        <is>
          <t>A20</t>
        </is>
      </c>
      <c r="B32" s="54" t="inlineStr">
        <is>
          <t>Hesabat tarixi ilə qurtaran rüb</t>
        </is>
      </c>
      <c r="C32" s="141" t="inlineStr">
        <is>
          <t>20</t>
        </is>
      </c>
      <c r="D32" s="239" t="n">
        <v>0</v>
      </c>
      <c r="E32" s="241" t="n">
        <v>606887.25</v>
      </c>
      <c r="F32" s="240" t="n">
        <v>191855.92</v>
      </c>
      <c r="G32" s="240" t="n">
        <v>415031.33</v>
      </c>
      <c r="H32" s="240" t="n">
        <v>0</v>
      </c>
      <c r="I32" s="240" t="n">
        <v>0</v>
      </c>
      <c r="J32" s="240" t="n">
        <v>0</v>
      </c>
      <c r="K32" s="240" t="n">
        <v>0</v>
      </c>
    </row>
    <row r="33" ht="28.5" customHeight="1" s="132">
      <c r="B33" s="178" t="inlineStr">
        <is>
          <t>QEYD: III sütunun hər bir sətirində müvafiq rüb ərzində bağlanmış sığorta və təkrarsığorta (təkrarsığortaya qəbul edilmiş risklər üzrə)  müqavilələri üzrə hesablanmış sığorta və təkrarsığorta haqlarının cəmi göstərilir.</t>
        </is>
      </c>
      <c r="H33" s="178" t="n"/>
      <c r="I33" s="178" t="n"/>
      <c r="J33" s="178" t="n"/>
      <c r="K33" s="178" t="n"/>
    </row>
    <row r="34" ht="18" customHeight="1" s="132">
      <c r="B34" s="27" t="n"/>
      <c r="C34" s="27" t="n"/>
      <c r="D34" s="27" t="n"/>
      <c r="E34" s="27" t="n"/>
      <c r="F34" s="27" t="n"/>
      <c r="G34" s="27" t="n"/>
      <c r="H34" s="27" t="n"/>
      <c r="I34" s="27" t="n"/>
      <c r="J34" s="27" t="n"/>
      <c r="K34" s="27" t="n"/>
    </row>
    <row r="35" ht="18" customHeight="1" s="132">
      <c r="B35" s="172" t="inlineStr">
        <is>
          <t>İdarə heyətinin sədri ______________________       _____________</t>
        </is>
      </c>
      <c r="F35" s="27" t="n"/>
      <c r="G35" s="27" t="n"/>
      <c r="H35" s="27" t="n"/>
      <c r="I35" s="27" t="n"/>
      <c r="J35" s="27" t="n"/>
      <c r="K35" s="27" t="n"/>
    </row>
    <row r="36" ht="18" customHeight="1" s="132">
      <c r="B36" s="173" t="inlineStr">
        <is>
          <t xml:space="preserve">                                     (s.a.a)                                     (imza)</t>
        </is>
      </c>
      <c r="F36" s="27" t="n"/>
      <c r="G36" s="27" t="n"/>
      <c r="H36" s="27" t="n"/>
      <c r="I36" s="27" t="n"/>
      <c r="J36" s="27" t="n"/>
      <c r="K36" s="27" t="n"/>
    </row>
    <row r="37" ht="18" customHeight="1" s="132">
      <c r="B37" s="24" t="n"/>
      <c r="C37" s="130" t="n"/>
      <c r="D37" s="130" t="n"/>
      <c r="E37" s="130" t="n"/>
      <c r="F37" s="27" t="n"/>
      <c r="G37" s="27" t="n"/>
      <c r="H37" s="27" t="n"/>
      <c r="I37" s="27" t="n"/>
      <c r="J37" s="27" t="n"/>
      <c r="K37" s="27" t="n"/>
    </row>
    <row r="38" ht="18" customHeight="1" s="132">
      <c r="B38" s="172" t="inlineStr">
        <is>
          <t>Baş mühasib _______________________       _____________</t>
        </is>
      </c>
      <c r="F38" s="27" t="n"/>
      <c r="G38" s="27" t="n"/>
      <c r="H38" s="27" t="n"/>
      <c r="I38" s="27" t="n"/>
      <c r="J38" s="27" t="n"/>
      <c r="K38" s="27" t="n"/>
    </row>
    <row r="39" ht="18" customHeight="1" s="132">
      <c r="B39" s="173" t="inlineStr">
        <is>
          <t xml:space="preserve">                                    (s.a.a)                                      (imza)</t>
        </is>
      </c>
      <c r="F39" s="27" t="n"/>
      <c r="G39" s="27" t="n"/>
      <c r="H39" s="27" t="n"/>
      <c r="I39" s="27" t="n"/>
      <c r="J39" s="27" t="n"/>
      <c r="K39" s="27" t="n"/>
    </row>
    <row r="40" ht="18" customHeight="1" s="132">
      <c r="B40" s="27" t="n"/>
      <c r="C40" s="27" t="n"/>
      <c r="D40" s="27" t="n"/>
      <c r="E40" s="27" t="n"/>
      <c r="F40" s="26" t="inlineStr">
        <is>
          <t>M.Y.</t>
        </is>
      </c>
      <c r="G40" s="27" t="n"/>
      <c r="H40" s="27" t="n"/>
      <c r="I40" s="27" t="n"/>
      <c r="J40" s="27" t="n"/>
      <c r="K40" s="27" t="n"/>
    </row>
  </sheetData>
  <mergeCells count="9">
    <mergeCell ref="B3:G3"/>
    <mergeCell ref="B36:E36"/>
    <mergeCell ref="B35:E35"/>
    <mergeCell ref="B5:G5"/>
    <mergeCell ref="B38:E38"/>
    <mergeCell ref="B39:E39"/>
    <mergeCell ref="B4:G4"/>
    <mergeCell ref="F1:G1"/>
    <mergeCell ref="B33:G33"/>
  </mergeCell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K41"/>
  <sheetViews>
    <sheetView workbookViewId="0">
      <selection activeCell="E7" sqref="E7"/>
    </sheetView>
  </sheetViews>
  <sheetFormatPr baseColWidth="8" defaultRowHeight="18"/>
  <cols>
    <col width="8.88671875" customWidth="1" style="71" min="1" max="1"/>
    <col width="20.77734375" customWidth="1" style="71" min="2" max="11"/>
    <col width="8.88671875" customWidth="1" style="132" min="12" max="16384"/>
  </cols>
  <sheetData>
    <row r="1" ht="45.75" customHeight="1" s="132">
      <c r="A1" s="71" t="n"/>
      <c r="B1" s="27" t="n"/>
      <c r="C1" s="27" t="n"/>
      <c r="D1" s="27" t="n"/>
      <c r="E1" s="193" t="inlineStr">
        <is>
          <t>«Həyat sığortası və qeyri-həyat sığortası
üzrə sığorta ehtiyatlarının formalaşdırılması
Qaydaları»na Əlavə № 3</t>
        </is>
      </c>
      <c r="H1" s="193" t="n"/>
      <c r="I1" s="193" t="n"/>
      <c r="J1" s="193" t="n"/>
      <c r="K1" s="193" t="n"/>
    </row>
    <row r="2" ht="22.5" customHeight="1" s="132">
      <c r="A2" s="71" t="n"/>
      <c r="B2" s="189" t="inlineStr">
        <is>
          <t>Forma № 8-10</t>
        </is>
      </c>
      <c r="C2" s="27" t="n"/>
      <c r="D2" s="27" t="n"/>
      <c r="E2" s="200" t="n"/>
      <c r="F2" s="200" t="n"/>
      <c r="G2" s="27" t="n"/>
      <c r="H2" s="27" t="n"/>
      <c r="I2" s="27" t="n"/>
      <c r="J2" s="27" t="n"/>
      <c r="K2" s="27" t="n"/>
    </row>
    <row r="3" ht="18.75" customHeight="1" s="132">
      <c r="A3" s="71" t="n"/>
      <c r="B3" s="189" t="inlineStr">
        <is>
          <t xml:space="preserve">Qazanılmış məcmu təkrarsığorta haqları </t>
        </is>
      </c>
      <c r="H3" s="189" t="n"/>
      <c r="I3" s="189" t="n"/>
      <c r="J3" s="189" t="n"/>
      <c r="K3" s="189" t="n"/>
    </row>
    <row r="4" s="132">
      <c r="A4" s="71" t="n"/>
      <c r="B4" s="176" t="n">
        <v>0</v>
      </c>
      <c r="H4" s="176" t="n"/>
      <c r="I4" s="176" t="n"/>
      <c r="J4" s="176" t="n"/>
      <c r="K4" s="176" t="n"/>
    </row>
    <row r="5" s="132">
      <c r="A5" s="71" t="n"/>
      <c r="B5" s="177" t="inlineStr">
        <is>
          <t xml:space="preserve">    (sığortaçının (təkrarsığortaçının)  adı)</t>
        </is>
      </c>
      <c r="H5" s="177" t="n"/>
      <c r="I5" s="177" t="n"/>
      <c r="J5" s="177" t="n"/>
      <c r="K5" s="177" t="n"/>
    </row>
    <row r="6" s="132">
      <c r="A6" s="71" t="n"/>
      <c r="B6" s="11" t="n"/>
      <c r="C6" s="11" t="n"/>
      <c r="D6" s="12" t="inlineStr">
        <is>
          <t>01.01.2026</t>
        </is>
      </c>
      <c r="E6" s="11" t="inlineStr">
        <is>
          <t xml:space="preserve"> -cı il  tarixə</t>
        </is>
      </c>
      <c r="F6" s="11" t="n"/>
      <c r="G6" s="11" t="n"/>
      <c r="H6" s="11" t="n"/>
      <c r="I6" s="11" t="n"/>
      <c r="J6" s="11" t="n"/>
      <c r="K6" s="11" t="n"/>
    </row>
    <row r="7" s="132">
      <c r="A7" s="71" t="n"/>
      <c r="B7" s="13" t="n"/>
      <c r="C7" s="13" t="n"/>
      <c r="D7" s="13" t="n"/>
      <c r="E7" s="13" t="n"/>
      <c r="F7" s="13" t="n"/>
      <c r="G7" s="13" t="n"/>
      <c r="H7" s="13" t="n"/>
      <c r="I7" s="13" t="n"/>
      <c r="J7" s="13" t="n"/>
      <c r="K7" s="13" t="n"/>
    </row>
    <row r="8" s="132">
      <c r="A8" s="71" t="n"/>
      <c r="B8" s="14" t="inlineStr">
        <is>
          <t>Sığortanın sinifi ____________________________</t>
        </is>
      </c>
      <c r="C8" s="219" t="inlineStr">
        <is>
          <t>(21)UmumiMulkiMesuliyy</t>
        </is>
      </c>
      <c r="D8" s="15" t="n"/>
      <c r="E8" s="13" t="n"/>
      <c r="F8" s="13" t="n"/>
      <c r="G8" s="13" t="n"/>
      <c r="H8" s="13" t="n"/>
      <c r="I8" s="13" t="n"/>
      <c r="J8" s="13" t="n"/>
      <c r="K8" s="13" t="n"/>
    </row>
    <row r="9" s="132">
      <c r="A9" s="71" t="n"/>
      <c r="B9" s="71" t="n"/>
      <c r="C9" s="71" t="n"/>
      <c r="D9" s="71" t="n"/>
      <c r="E9" s="71" t="n"/>
      <c r="F9" s="71" t="n"/>
      <c r="G9" s="71" t="n"/>
      <c r="H9" s="71" t="n"/>
      <c r="I9" s="71" t="n"/>
      <c r="J9" s="71" t="n"/>
      <c r="K9" s="71" t="n"/>
    </row>
    <row r="10" s="132">
      <c r="A10" s="71" t="n"/>
      <c r="B10" s="71" t="n"/>
      <c r="C10" s="71" t="n"/>
      <c r="D10" s="71" t="n"/>
      <c r="E10" s="71" t="n"/>
      <c r="F10" s="71" t="n"/>
      <c r="G10" s="71" t="n"/>
      <c r="H10" s="71" t="n"/>
      <c r="I10" s="71" t="n"/>
      <c r="J10" s="71" t="n"/>
      <c r="K10" s="71" t="n"/>
    </row>
    <row r="11" ht="110.25" customHeight="1" s="132">
      <c r="A11" s="71" t="n"/>
      <c r="B11" s="18" t="inlineStr">
        <is>
          <t>Zərərlərin baş verməsi rübləri</t>
        </is>
      </c>
      <c r="C11" s="18" t="inlineStr">
        <is>
          <t>Sətrin kodu</t>
        </is>
      </c>
      <c r="D11" s="18" t="inlineStr">
        <is>
          <t>Rüb ərzində hesablanmış məcmu baza təkrarsığorta haqları</t>
        </is>
      </c>
      <c r="E11" s="18" t="inlineStr">
        <is>
          <t xml:space="preserve">Rübün əvvəlinə qazanılmamış sığorta haqları ehtiyatında təkrarsığortaçıla-rın payı </t>
        </is>
      </c>
      <c r="F11" s="18" t="inlineStr">
        <is>
          <t xml:space="preserve">Rübün sonuna qazanılmamış sığorta haqları ehtiyatında təkrarsığortaçıla-rın payı </t>
        </is>
      </c>
      <c r="G11" s="18" t="inlineStr">
        <is>
          <t>Rüb ərzində qazanılmış məcmu təkrarsığorta haqları (süt.3+süt.4-süt.5)</t>
        </is>
      </c>
      <c r="H11" s="18" t="inlineStr">
        <is>
          <t>Rüb ərzində hesablanmış məcmu baza təkrarsığorta haqlarının katastrofik risk təminatına düşən hissəsi</t>
        </is>
      </c>
      <c r="I11" s="18" t="inlineStr">
        <is>
          <t>Rübün əvvəlinə qazanılmamış təkrarsığorta haqqının katastrofik risk təminatına düşən hissəsi</t>
        </is>
      </c>
      <c r="J11" s="18" t="inlineStr">
        <is>
          <t>Rübün sonuna qazanılmamış təkrarsığorta haqqının katastrofik risk təminatına düşən hissəsi</t>
        </is>
      </c>
      <c r="K11" s="18" t="inlineStr">
        <is>
          <t>Qazanılmış təkrarsığorta haqqının katastrofik risk təminatına düşən hissəsi (VII+VIII-IX)</t>
        </is>
      </c>
    </row>
    <row r="12">
      <c r="A12" s="71" t="n"/>
      <c r="B12" s="33" t="n">
        <v>1</v>
      </c>
      <c r="C12" s="33" t="n">
        <v>2</v>
      </c>
      <c r="D12" s="33" t="n">
        <v>3</v>
      </c>
      <c r="E12" s="33" t="n">
        <v>4</v>
      </c>
      <c r="F12" s="33" t="n">
        <v>5</v>
      </c>
      <c r="G12" s="33" t="n">
        <v>6</v>
      </c>
      <c r="H12" s="33" t="inlineStr">
        <is>
          <t>VII</t>
        </is>
      </c>
      <c r="I12" s="33" t="inlineStr">
        <is>
          <t>VIII</t>
        </is>
      </c>
      <c r="J12" s="33" t="inlineStr">
        <is>
          <t>IX</t>
        </is>
      </c>
      <c r="K12" s="33" t="inlineStr">
        <is>
          <t>X</t>
        </is>
      </c>
    </row>
    <row r="13">
      <c r="A13" s="38" t="inlineStr">
        <is>
          <t>A1</t>
        </is>
      </c>
      <c r="B13" s="89" t="inlineStr">
        <is>
          <t>rüb 1</t>
        </is>
      </c>
      <c r="C13" s="141" t="inlineStr">
        <is>
          <t>01</t>
        </is>
      </c>
      <c r="D13" s="241" t="n">
        <v>84670.67</v>
      </c>
      <c r="E13" s="241" t="n">
        <v>140138.61</v>
      </c>
      <c r="F13" s="241" t="n">
        <v>130533.91</v>
      </c>
      <c r="G13" s="241" t="n">
        <v>94275.37</v>
      </c>
      <c r="H13" s="241" t="n">
        <v>0</v>
      </c>
      <c r="I13" s="241" t="n">
        <v>0</v>
      </c>
      <c r="J13" s="241" t="n">
        <v>0</v>
      </c>
      <c r="K13" s="241" t="n">
        <v>0</v>
      </c>
    </row>
    <row r="14">
      <c r="A14" s="38" t="inlineStr">
        <is>
          <t>A2</t>
        </is>
      </c>
      <c r="B14" s="89" t="inlineStr">
        <is>
          <t>rüb 2</t>
        </is>
      </c>
      <c r="C14" s="141" t="inlineStr">
        <is>
          <t>02</t>
        </is>
      </c>
      <c r="D14" s="241" t="n">
        <v>69530.44</v>
      </c>
      <c r="E14" s="241" t="n">
        <v>130533.91</v>
      </c>
      <c r="F14" s="241" t="n">
        <v>122699.06</v>
      </c>
      <c r="G14" s="241" t="n">
        <v>77365.28999999999</v>
      </c>
      <c r="H14" s="241" t="n">
        <v>0</v>
      </c>
      <c r="I14" s="241" t="n">
        <v>0</v>
      </c>
      <c r="J14" s="241" t="n">
        <v>0</v>
      </c>
      <c r="K14" s="241" t="n">
        <v>0</v>
      </c>
    </row>
    <row r="15">
      <c r="A15" s="38" t="inlineStr">
        <is>
          <t>A3</t>
        </is>
      </c>
      <c r="B15" s="89" t="inlineStr">
        <is>
          <t>rüb 3</t>
        </is>
      </c>
      <c r="C15" s="141" t="inlineStr">
        <is>
          <t>03</t>
        </is>
      </c>
      <c r="D15" s="241" t="n">
        <v>118815.64</v>
      </c>
      <c r="E15" s="241" t="n">
        <v>122699.06</v>
      </c>
      <c r="F15" s="241" t="n">
        <v>163457.76</v>
      </c>
      <c r="G15" s="241" t="n">
        <v>78056.94</v>
      </c>
      <c r="H15" s="241" t="n">
        <v>0</v>
      </c>
      <c r="I15" s="241" t="n">
        <v>0</v>
      </c>
      <c r="J15" s="241" t="n">
        <v>0</v>
      </c>
      <c r="K15" s="241" t="n">
        <v>0</v>
      </c>
    </row>
    <row r="16">
      <c r="A16" s="38" t="inlineStr">
        <is>
          <t>A4</t>
        </is>
      </c>
      <c r="B16" s="89" t="inlineStr">
        <is>
          <t>rüb 4</t>
        </is>
      </c>
      <c r="C16" s="141" t="inlineStr">
        <is>
          <t>04</t>
        </is>
      </c>
      <c r="D16" s="241" t="n">
        <v>102961.84</v>
      </c>
      <c r="E16" s="241" t="n">
        <v>163457.76</v>
      </c>
      <c r="F16" s="241" t="n">
        <v>180834.58</v>
      </c>
      <c r="G16" s="241" t="n">
        <v>85585.02</v>
      </c>
      <c r="H16" s="241" t="n">
        <v>0</v>
      </c>
      <c r="I16" s="241" t="n">
        <v>0</v>
      </c>
      <c r="J16" s="241" t="n">
        <v>0</v>
      </c>
      <c r="K16" s="241" t="n">
        <v>0</v>
      </c>
    </row>
    <row r="17">
      <c r="A17" s="38" t="inlineStr">
        <is>
          <t>A5</t>
        </is>
      </c>
      <c r="B17" s="89" t="inlineStr">
        <is>
          <t>rüb 5</t>
        </is>
      </c>
      <c r="C17" s="141" t="inlineStr">
        <is>
          <t>05</t>
        </is>
      </c>
      <c r="D17" s="241" t="n">
        <v>79799.00999999999</v>
      </c>
      <c r="E17" s="241" t="n">
        <v>180834.58</v>
      </c>
      <c r="F17" s="241" t="n">
        <v>161882.75</v>
      </c>
      <c r="G17" s="241" t="n">
        <v>98750.84</v>
      </c>
      <c r="H17" s="241" t="n">
        <v>0</v>
      </c>
      <c r="I17" s="241" t="n">
        <v>0</v>
      </c>
      <c r="J17" s="241" t="n">
        <v>0</v>
      </c>
      <c r="K17" s="241" t="n">
        <v>0</v>
      </c>
    </row>
    <row r="18">
      <c r="A18" s="38" t="inlineStr">
        <is>
          <t>A6</t>
        </is>
      </c>
      <c r="B18" s="89" t="inlineStr">
        <is>
          <t>rüb 6</t>
        </is>
      </c>
      <c r="C18" s="141" t="inlineStr">
        <is>
          <t>06</t>
        </is>
      </c>
      <c r="D18" s="241" t="n">
        <v>79756.69</v>
      </c>
      <c r="E18" s="241" t="n">
        <v>161882.75</v>
      </c>
      <c r="F18" s="241" t="n">
        <v>150645.48</v>
      </c>
      <c r="G18" s="241" t="n">
        <v>90993.96000000001</v>
      </c>
      <c r="H18" s="241" t="n">
        <v>0</v>
      </c>
      <c r="I18" s="241" t="n">
        <v>0</v>
      </c>
      <c r="J18" s="241" t="n">
        <v>0</v>
      </c>
      <c r="K18" s="241" t="n">
        <v>0</v>
      </c>
    </row>
    <row r="19">
      <c r="A19" s="38" t="inlineStr">
        <is>
          <t>A7</t>
        </is>
      </c>
      <c r="B19" s="89" t="inlineStr">
        <is>
          <t>rüb 7</t>
        </is>
      </c>
      <c r="C19" s="141" t="inlineStr">
        <is>
          <t>07</t>
        </is>
      </c>
      <c r="D19" s="241" t="n">
        <v>62700.28</v>
      </c>
      <c r="E19" s="241" t="n">
        <v>150645.48</v>
      </c>
      <c r="F19" s="241" t="n">
        <v>123013.86</v>
      </c>
      <c r="G19" s="241" t="n">
        <v>90331.89999999999</v>
      </c>
      <c r="H19" s="241" t="n">
        <v>0</v>
      </c>
      <c r="I19" s="241" t="n">
        <v>0</v>
      </c>
      <c r="J19" s="241" t="n">
        <v>0</v>
      </c>
      <c r="K19" s="241" t="n">
        <v>0</v>
      </c>
    </row>
    <row r="20">
      <c r="A20" s="38" t="inlineStr">
        <is>
          <t>A8</t>
        </is>
      </c>
      <c r="B20" s="89" t="inlineStr">
        <is>
          <t>rüb 8</t>
        </is>
      </c>
      <c r="C20" s="141" t="inlineStr">
        <is>
          <t>08</t>
        </is>
      </c>
      <c r="D20" s="241" t="n">
        <v>129785.13</v>
      </c>
      <c r="E20" s="241" t="n">
        <v>123013.86</v>
      </c>
      <c r="F20" s="241" t="n">
        <v>164285.39</v>
      </c>
      <c r="G20" s="241" t="n">
        <v>88513.60000000001</v>
      </c>
      <c r="H20" s="241" t="n">
        <v>0</v>
      </c>
      <c r="I20" s="241" t="n">
        <v>0</v>
      </c>
      <c r="J20" s="241" t="n">
        <v>0</v>
      </c>
      <c r="K20" s="241" t="n">
        <v>0</v>
      </c>
    </row>
    <row r="21">
      <c r="A21" s="38" t="inlineStr">
        <is>
          <t>A9</t>
        </is>
      </c>
      <c r="B21" s="89" t="inlineStr">
        <is>
          <t>rüb 9</t>
        </is>
      </c>
      <c r="C21" s="141" t="inlineStr">
        <is>
          <t>09</t>
        </is>
      </c>
      <c r="D21" s="241" t="n">
        <v>77776.99000000001</v>
      </c>
      <c r="E21" s="241" t="n">
        <v>164285.39</v>
      </c>
      <c r="F21" s="241" t="n">
        <v>158496.96</v>
      </c>
      <c r="G21" s="241" t="n">
        <v>83565.42</v>
      </c>
      <c r="H21" s="241" t="n">
        <v>0</v>
      </c>
      <c r="I21" s="241" t="n">
        <v>0</v>
      </c>
      <c r="J21" s="241" t="n">
        <v>0</v>
      </c>
      <c r="K21" s="241" t="n">
        <v>0</v>
      </c>
    </row>
    <row r="22">
      <c r="A22" s="38" t="inlineStr">
        <is>
          <t>A10</t>
        </is>
      </c>
      <c r="B22" s="89" t="inlineStr">
        <is>
          <t>rüb 10</t>
        </is>
      </c>
      <c r="C22" s="141" t="inlineStr">
        <is>
          <t>10</t>
        </is>
      </c>
      <c r="D22" s="241" t="n">
        <v>142469.26</v>
      </c>
      <c r="E22" s="241" t="n">
        <v>158496.96</v>
      </c>
      <c r="F22" s="241" t="n">
        <v>188829.71</v>
      </c>
      <c r="G22" s="241" t="n">
        <v>112136.51</v>
      </c>
      <c r="H22" s="241" t="n">
        <v>0</v>
      </c>
      <c r="I22" s="241" t="n">
        <v>0</v>
      </c>
      <c r="J22" s="241" t="n">
        <v>0</v>
      </c>
      <c r="K22" s="241" t="n">
        <v>0</v>
      </c>
    </row>
    <row r="23">
      <c r="A23" s="38" t="inlineStr">
        <is>
          <t>A11</t>
        </is>
      </c>
      <c r="B23" s="89" t="inlineStr">
        <is>
          <t>rüb 11</t>
        </is>
      </c>
      <c r="C23" s="141" t="inlineStr">
        <is>
          <t>11</t>
        </is>
      </c>
      <c r="D23" s="241" t="n">
        <v>58264.97</v>
      </c>
      <c r="E23" s="241" t="n">
        <v>188829.71</v>
      </c>
      <c r="F23" s="241" t="n">
        <v>130516.72</v>
      </c>
      <c r="G23" s="241" t="n">
        <v>116577.96</v>
      </c>
      <c r="H23" s="241" t="n">
        <v>0</v>
      </c>
      <c r="I23" s="241" t="n">
        <v>0</v>
      </c>
      <c r="J23" s="241" t="n">
        <v>0</v>
      </c>
      <c r="K23" s="241" t="n">
        <v>0</v>
      </c>
    </row>
    <row r="24">
      <c r="A24" s="38" t="inlineStr">
        <is>
          <t>A12</t>
        </is>
      </c>
      <c r="B24" s="89" t="inlineStr">
        <is>
          <t>rüb 12</t>
        </is>
      </c>
      <c r="C24" s="141" t="inlineStr">
        <is>
          <t>12</t>
        </is>
      </c>
      <c r="D24" s="241" t="n">
        <v>109461.69</v>
      </c>
      <c r="E24" s="241" t="n">
        <v>130516.72</v>
      </c>
      <c r="F24" s="241" t="n">
        <v>152198.08</v>
      </c>
      <c r="G24" s="241" t="n">
        <v>87780.33</v>
      </c>
      <c r="H24" s="241" t="n">
        <v>0</v>
      </c>
      <c r="I24" s="241" t="n">
        <v>0</v>
      </c>
      <c r="J24" s="241" t="n">
        <v>0</v>
      </c>
      <c r="K24" s="241" t="n">
        <v>0</v>
      </c>
    </row>
    <row r="25">
      <c r="A25" s="38" t="inlineStr">
        <is>
          <t>A13</t>
        </is>
      </c>
      <c r="B25" s="89" t="inlineStr">
        <is>
          <t>rüb 13</t>
        </is>
      </c>
      <c r="C25" s="141" t="inlineStr">
        <is>
          <t>13</t>
        </is>
      </c>
      <c r="D25" s="241" t="n">
        <v>58221.29</v>
      </c>
      <c r="E25" s="241" t="n">
        <v>152198.08</v>
      </c>
      <c r="F25" s="241" t="n">
        <v>128113.01</v>
      </c>
      <c r="G25" s="241" t="n">
        <v>82306.36</v>
      </c>
      <c r="H25" s="241" t="n">
        <v>0</v>
      </c>
      <c r="I25" s="241" t="n">
        <v>0</v>
      </c>
      <c r="J25" s="241" t="n">
        <v>0</v>
      </c>
      <c r="K25" s="241" t="n">
        <v>0</v>
      </c>
    </row>
    <row r="26">
      <c r="A26" s="38" t="inlineStr">
        <is>
          <t>A14</t>
        </is>
      </c>
      <c r="B26" s="89" t="inlineStr">
        <is>
          <t>rüb 14</t>
        </is>
      </c>
      <c r="C26" s="141" t="inlineStr">
        <is>
          <t>14</t>
        </is>
      </c>
      <c r="D26" s="241" t="n">
        <v>92691.92</v>
      </c>
      <c r="E26" s="241" t="n">
        <v>128113.01</v>
      </c>
      <c r="F26" s="241" t="n">
        <v>147068.18</v>
      </c>
      <c r="G26" s="241" t="n">
        <v>73736.75</v>
      </c>
      <c r="H26" s="241" t="n">
        <v>0</v>
      </c>
      <c r="I26" s="241" t="n">
        <v>0</v>
      </c>
      <c r="J26" s="241" t="n">
        <v>0</v>
      </c>
      <c r="K26" s="241" t="n">
        <v>0</v>
      </c>
    </row>
    <row r="27">
      <c r="A27" s="38" t="inlineStr">
        <is>
          <t>A15</t>
        </is>
      </c>
      <c r="B27" s="89" t="inlineStr">
        <is>
          <t>rüb 15</t>
        </is>
      </c>
      <c r="C27" s="141" t="inlineStr">
        <is>
          <t>15</t>
        </is>
      </c>
      <c r="D27" s="241" t="n">
        <v>37265.96</v>
      </c>
      <c r="E27" s="241" t="n">
        <v>147068.18</v>
      </c>
      <c r="F27" s="241" t="n">
        <v>108538.67</v>
      </c>
      <c r="G27" s="241" t="n">
        <v>75795.47</v>
      </c>
      <c r="H27" s="241" t="n">
        <v>0</v>
      </c>
      <c r="I27" s="241" t="n">
        <v>0</v>
      </c>
      <c r="J27" s="241" t="n">
        <v>0</v>
      </c>
      <c r="K27" s="241" t="n">
        <v>0</v>
      </c>
    </row>
    <row r="28">
      <c r="A28" s="38" t="inlineStr">
        <is>
          <t>A16</t>
        </is>
      </c>
      <c r="B28" s="89" t="inlineStr">
        <is>
          <t>rüb 16</t>
        </is>
      </c>
      <c r="C28" s="141" t="inlineStr">
        <is>
          <t>16</t>
        </is>
      </c>
      <c r="D28" s="241" t="n">
        <v>231336.07</v>
      </c>
      <c r="E28" s="241" t="n">
        <v>108538.67</v>
      </c>
      <c r="F28" s="241" t="n">
        <v>225177.97</v>
      </c>
      <c r="G28" s="241" t="n">
        <v>114696.77</v>
      </c>
      <c r="H28" s="241" t="n">
        <v>0</v>
      </c>
      <c r="I28" s="241" t="n">
        <v>0</v>
      </c>
      <c r="J28" s="241" t="n">
        <v>0</v>
      </c>
      <c r="K28" s="241" t="n">
        <v>0</v>
      </c>
    </row>
    <row r="29">
      <c r="A29" s="38" t="inlineStr">
        <is>
          <t>A17</t>
        </is>
      </c>
      <c r="B29" s="89" t="inlineStr">
        <is>
          <t>rüb 17</t>
        </is>
      </c>
      <c r="C29" s="141" t="inlineStr">
        <is>
          <t>17</t>
        </is>
      </c>
      <c r="D29" s="241" t="n">
        <v>80601.64999999999</v>
      </c>
      <c r="E29" s="241" t="n">
        <v>225177.97</v>
      </c>
      <c r="F29" s="241" t="n">
        <v>201728.58</v>
      </c>
      <c r="G29" s="241" t="n">
        <v>104051.04</v>
      </c>
      <c r="H29" s="241" t="n">
        <v>0</v>
      </c>
      <c r="I29" s="241" t="n">
        <v>0</v>
      </c>
      <c r="J29" s="241" t="n">
        <v>0</v>
      </c>
      <c r="K29" s="241" t="n">
        <v>0</v>
      </c>
    </row>
    <row r="30">
      <c r="A30" s="38" t="inlineStr">
        <is>
          <t>A18</t>
        </is>
      </c>
      <c r="B30" s="89" t="inlineStr">
        <is>
          <t>rüb 18</t>
        </is>
      </c>
      <c r="C30" s="141" t="inlineStr">
        <is>
          <t>18</t>
        </is>
      </c>
      <c r="D30" s="241" t="n">
        <v>286718.91</v>
      </c>
      <c r="E30" s="241" t="n">
        <v>201728.58</v>
      </c>
      <c r="F30" s="241" t="n">
        <v>374667.71</v>
      </c>
      <c r="G30" s="241" t="n">
        <v>113779.78</v>
      </c>
      <c r="H30" s="241" t="n">
        <v>0</v>
      </c>
      <c r="I30" s="241" t="n">
        <v>0</v>
      </c>
      <c r="J30" s="241" t="n">
        <v>0</v>
      </c>
      <c r="K30" s="241" t="n">
        <v>0</v>
      </c>
    </row>
    <row r="31">
      <c r="A31" s="38" t="inlineStr">
        <is>
          <t>A19</t>
        </is>
      </c>
      <c r="B31" s="89" t="inlineStr">
        <is>
          <t>rüb 19</t>
        </is>
      </c>
      <c r="C31" s="141" t="inlineStr">
        <is>
          <t>19</t>
        </is>
      </c>
      <c r="D31" s="241" t="n">
        <v>225261.67</v>
      </c>
      <c r="E31" s="241" t="n">
        <v>374667.71</v>
      </c>
      <c r="F31" s="241" t="n">
        <v>446804.8</v>
      </c>
      <c r="G31" s="241" t="n">
        <v>153124.58</v>
      </c>
      <c r="H31" s="241" t="n">
        <v>0</v>
      </c>
      <c r="I31" s="241" t="n">
        <v>0</v>
      </c>
      <c r="J31" s="241" t="n">
        <v>0</v>
      </c>
      <c r="K31" s="241" t="n">
        <v>0</v>
      </c>
    </row>
    <row r="32" ht="31.2" customHeight="1" s="132">
      <c r="A32" s="38" t="inlineStr">
        <is>
          <t>A20</t>
        </is>
      </c>
      <c r="B32" s="54" t="inlineStr">
        <is>
          <t>Hesabat tarixi ilə qurtaran rüb</t>
        </is>
      </c>
      <c r="C32" s="141" t="inlineStr">
        <is>
          <t>20</t>
        </is>
      </c>
      <c r="D32" s="240" t="n">
        <v>0</v>
      </c>
      <c r="E32" s="241" t="n">
        <v>446804.8</v>
      </c>
      <c r="F32" s="240" t="n">
        <v>288823.82</v>
      </c>
      <c r="G32" s="240" t="n">
        <v>157980.98</v>
      </c>
      <c r="H32" s="240" t="n">
        <v>0</v>
      </c>
      <c r="I32" s="240" t="n">
        <v>0</v>
      </c>
      <c r="J32" s="240" t="n">
        <v>0</v>
      </c>
      <c r="K32" s="240" t="n">
        <v>0</v>
      </c>
    </row>
    <row r="33" ht="47.25" customHeight="1" s="132">
      <c r="A33" s="71" t="n"/>
      <c r="B33" s="178" t="inlineStr">
        <is>
          <t>QEYD: III sütunun hər bir sətirində müvafiq rüb ərzində bağlanmış təkrarsığorta (təkrarsığortaya verilmiş risklər üzrə) müqavilələri üzrə hesablanmış təkrarsığorta haqlarının cəmi göstərilir.</t>
        </is>
      </c>
      <c r="H33" s="178" t="n"/>
      <c r="I33" s="178" t="n"/>
      <c r="J33" s="178" t="n"/>
      <c r="K33" s="178" t="n"/>
    </row>
    <row r="34" ht="19.5" customHeight="1" s="132">
      <c r="A34" s="71" t="n"/>
      <c r="B34" s="178" t="n"/>
      <c r="C34" s="178" t="n"/>
      <c r="D34" s="178" t="n"/>
      <c r="E34" s="178" t="n"/>
      <c r="F34" s="178" t="n"/>
      <c r="G34" s="178" t="n"/>
      <c r="H34" s="178" t="n"/>
      <c r="I34" s="178" t="n"/>
      <c r="J34" s="178" t="n"/>
      <c r="K34" s="178" t="n"/>
    </row>
    <row r="35">
      <c r="A35" s="71" t="n"/>
      <c r="B35" s="172" t="inlineStr">
        <is>
          <t>İdarə heyətinin sədri ______________________       _____________</t>
        </is>
      </c>
      <c r="F35" s="27" t="n"/>
      <c r="G35" s="27" t="n"/>
      <c r="H35" s="27" t="n"/>
      <c r="I35" s="27" t="n"/>
      <c r="J35" s="27" t="n"/>
      <c r="K35" s="27" t="n"/>
    </row>
    <row r="36">
      <c r="A36" s="71" t="n"/>
      <c r="B36" s="173" t="inlineStr">
        <is>
          <t xml:space="preserve">                                     (s.a.a)                                     (imza)</t>
        </is>
      </c>
      <c r="F36" s="27" t="n"/>
      <c r="G36" s="27" t="n"/>
      <c r="H36" s="27" t="n"/>
      <c r="I36" s="27" t="n"/>
      <c r="J36" s="27" t="n"/>
      <c r="K36" s="27" t="n"/>
    </row>
    <row r="37">
      <c r="A37" s="71" t="n"/>
      <c r="B37" s="24" t="n"/>
      <c r="C37" s="130" t="n"/>
      <c r="D37" s="130" t="n"/>
      <c r="E37" s="130" t="n"/>
      <c r="F37" s="27" t="n"/>
      <c r="G37" s="27" t="n"/>
      <c r="H37" s="27" t="n"/>
      <c r="I37" s="27" t="n"/>
      <c r="J37" s="27" t="n"/>
      <c r="K37" s="27" t="n"/>
    </row>
    <row r="38">
      <c r="A38" s="71" t="n"/>
      <c r="B38" s="172" t="inlineStr">
        <is>
          <t>Baş mühasib _______________________       _____________</t>
        </is>
      </c>
      <c r="F38" s="27" t="n"/>
      <c r="G38" s="27" t="n"/>
      <c r="H38" s="27" t="n"/>
      <c r="I38" s="27" t="n"/>
      <c r="J38" s="27" t="n"/>
      <c r="K38" s="27" t="n"/>
    </row>
    <row r="39">
      <c r="A39" s="71" t="n"/>
      <c r="B39" s="173" t="inlineStr">
        <is>
          <t xml:space="preserve">                                    (s.a.a)                                      (imza)</t>
        </is>
      </c>
      <c r="F39" s="27" t="n"/>
      <c r="G39" s="27" t="n"/>
      <c r="H39" s="27" t="n"/>
      <c r="I39" s="27" t="n"/>
      <c r="J39" s="27" t="n"/>
      <c r="K39" s="27" t="n"/>
    </row>
    <row r="40">
      <c r="A40" s="71" t="n"/>
      <c r="B40" s="27" t="n"/>
      <c r="C40" s="27" t="n"/>
      <c r="D40" s="27" t="n"/>
      <c r="E40" s="27" t="n"/>
      <c r="F40" s="26" t="inlineStr">
        <is>
          <t>M.Y.</t>
        </is>
      </c>
      <c r="G40" s="27" t="n"/>
      <c r="H40" s="27" t="n"/>
      <c r="I40" s="27" t="n"/>
      <c r="J40" s="27" t="n"/>
      <c r="K40" s="27" t="n"/>
    </row>
    <row r="41">
      <c r="B41" s="27" t="n"/>
      <c r="C41" s="27" t="n"/>
      <c r="D41" s="27" t="n"/>
      <c r="E41" s="27" t="n"/>
      <c r="F41" s="27" t="n"/>
      <c r="G41" s="27" t="n"/>
      <c r="H41" s="27" t="n"/>
      <c r="I41" s="27" t="n"/>
      <c r="J41" s="27" t="n"/>
      <c r="K41" s="27" t="n"/>
    </row>
  </sheetData>
  <mergeCells count="9">
    <mergeCell ref="B3:G3"/>
    <mergeCell ref="B36:E36"/>
    <mergeCell ref="B35:E35"/>
    <mergeCell ref="B5:G5"/>
    <mergeCell ref="B38:E38"/>
    <mergeCell ref="B39:E39"/>
    <mergeCell ref="B4:G4"/>
    <mergeCell ref="B33:G33"/>
    <mergeCell ref="E1:G1"/>
  </mergeCell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E44"/>
  <sheetViews>
    <sheetView zoomScale="55" workbookViewId="0">
      <selection activeCell="D6" sqref="D6"/>
    </sheetView>
  </sheetViews>
  <sheetFormatPr baseColWidth="8" defaultRowHeight="14.4"/>
  <cols>
    <col width="8.88671875" customWidth="1" style="132" min="1" max="1"/>
    <col width="23.5546875" customWidth="1" style="132" min="2" max="2"/>
    <col width="8.88671875" customWidth="1" style="132" min="3" max="3"/>
    <col width="12.109375" bestFit="1" customWidth="1" style="132" min="4" max="4"/>
    <col width="10.77734375" customWidth="1" style="132" min="5" max="6"/>
    <col width="13.109375" bestFit="1" customWidth="1" style="132" min="7" max="7"/>
    <col width="10.77734375" customWidth="1" style="132" min="8" max="24"/>
    <col width="11.77734375" customWidth="1" style="132" min="25" max="31"/>
    <col width="10.44140625" customWidth="1" style="132" min="32" max="32"/>
    <col width="8.88671875" customWidth="1" style="132" min="33" max="16384"/>
  </cols>
  <sheetData>
    <row r="1" ht="41.25" customHeight="1" s="132">
      <c r="B1" s="27" t="n"/>
      <c r="C1" s="27" t="n"/>
      <c r="D1" s="122" t="n"/>
      <c r="E1" s="200" t="n"/>
      <c r="V1" s="98" t="n"/>
      <c r="W1" s="98" t="n"/>
      <c r="X1" s="98" t="n"/>
      <c r="Y1" s="98" t="n"/>
      <c r="Z1" s="98" t="n"/>
      <c r="AA1" s="98" t="n"/>
      <c r="AB1" s="174" t="inlineStr">
        <is>
          <t>«Həyat sığortası və qeyri-həyat sığortası
üzrə sığorta ehtiyatlarının formalaşdırılması
Qaydaları»na Əlavə № 3</t>
        </is>
      </c>
    </row>
    <row r="2" ht="18" customHeight="1" s="132">
      <c r="B2" s="201" t="inlineStr">
        <is>
          <t>Forma № 8-8</t>
        </is>
      </c>
      <c r="D2" s="122" t="n"/>
      <c r="E2" s="200" t="n"/>
      <c r="F2" s="200" t="n"/>
      <c r="G2" s="200" t="n"/>
      <c r="H2" s="200" t="n"/>
      <c r="I2" s="200" t="n"/>
      <c r="J2" s="200" t="n"/>
      <c r="K2" s="200" t="n"/>
      <c r="L2" s="200" t="n"/>
      <c r="M2" s="200" t="n"/>
      <c r="N2" s="200" t="n"/>
      <c r="O2" s="200" t="n"/>
      <c r="P2" s="200" t="n"/>
      <c r="Q2" s="200" t="n"/>
      <c r="R2" s="200" t="n"/>
      <c r="S2" s="200" t="n"/>
      <c r="T2" s="200" t="n"/>
      <c r="U2" s="200" t="n"/>
      <c r="V2" s="98" t="n"/>
      <c r="W2" s="98" t="n"/>
      <c r="X2" s="98" t="n"/>
      <c r="Y2" s="98" t="n"/>
      <c r="Z2" s="98" t="n"/>
      <c r="AA2" s="98" t="n"/>
      <c r="AB2" s="99" t="n"/>
      <c r="AC2" s="99" t="n"/>
      <c r="AD2" s="130" t="n"/>
      <c r="AE2" s="130" t="n"/>
    </row>
    <row r="3" ht="18" customHeight="1" s="132">
      <c r="B3" s="189" t="inlineStr">
        <is>
          <t>Üçbucaq metodu ilə hesablanmış baş vermiş, lakin bildirilməmiş zərərlər ehtiyatı</t>
        </is>
      </c>
    </row>
    <row r="4" ht="17.4" customHeight="1" s="132">
      <c r="C4" s="101" t="n"/>
      <c r="D4" s="123" t="n"/>
      <c r="E4" s="101" t="n"/>
      <c r="F4" s="101" t="n"/>
      <c r="G4" s="176" t="n">
        <v>0</v>
      </c>
      <c r="H4" s="101" t="n"/>
      <c r="I4" s="101" t="n"/>
      <c r="J4" s="101" t="n"/>
      <c r="K4" s="101" t="n"/>
      <c r="L4" s="101" t="n"/>
      <c r="M4" s="101" t="n"/>
      <c r="N4" s="101" t="n"/>
      <c r="O4" s="101" t="n"/>
      <c r="P4" s="101" t="n"/>
      <c r="Q4" s="101" t="n"/>
      <c r="R4" s="101" t="n"/>
      <c r="S4" s="101" t="n"/>
      <c r="T4" s="101" t="n"/>
      <c r="U4" s="101" t="n"/>
      <c r="V4" s="101" t="n"/>
      <c r="W4" s="101" t="n"/>
      <c r="X4" s="101" t="n"/>
      <c r="Y4" s="101" t="n"/>
      <c r="Z4" s="101" t="n"/>
      <c r="AA4" s="101" t="n"/>
      <c r="AB4" s="101" t="n"/>
      <c r="AC4" s="101" t="n"/>
      <c r="AD4" s="101" t="n"/>
      <c r="AE4" s="101" t="n"/>
    </row>
    <row r="5" s="132">
      <c r="B5" s="202" t="inlineStr">
        <is>
          <t xml:space="preserve">    (sığortaçının (təkrarsığortaçının)  adı)</t>
        </is>
      </c>
    </row>
    <row r="6" ht="17.4" customHeight="1" s="132">
      <c r="B6" s="102" t="n"/>
      <c r="D6" s="12" t="inlineStr">
        <is>
          <t>01.01.2026</t>
        </is>
      </c>
      <c r="E6" s="11" t="inlineStr">
        <is>
          <t xml:space="preserve"> -cı il  tarixə</t>
        </is>
      </c>
      <c r="F6" s="102" t="n"/>
      <c r="I6" s="102" t="n"/>
      <c r="J6" s="102" t="n"/>
      <c r="K6" s="102" t="n"/>
      <c r="L6" s="102" t="n"/>
      <c r="M6" s="102" t="n"/>
      <c r="N6" s="102" t="n"/>
      <c r="O6" s="102" t="n"/>
      <c r="P6" s="102" t="n"/>
      <c r="Q6" s="102" t="n"/>
      <c r="R6" s="102" t="n"/>
      <c r="S6" s="102" t="n"/>
      <c r="T6" s="102" t="n"/>
      <c r="U6" s="102" t="n"/>
      <c r="V6" s="102" t="n"/>
      <c r="W6" s="102" t="n"/>
      <c r="X6" s="102" t="n"/>
      <c r="Y6" s="102" t="n"/>
      <c r="Z6" s="102" t="n"/>
      <c r="AA6" s="102" t="n"/>
      <c r="AB6" s="102" t="n"/>
      <c r="AC6" s="102" t="n"/>
      <c r="AD6" s="102" t="n"/>
      <c r="AE6" s="102" t="n"/>
    </row>
    <row r="8" ht="18" customHeight="1" s="132">
      <c r="B8" s="171" t="inlineStr">
        <is>
          <t>Sığortanın sinifi ____________________________</t>
        </is>
      </c>
      <c r="C8" s="219" t="inlineStr">
        <is>
          <t>(21)UmumiMulkiMesuliyy</t>
        </is>
      </c>
      <c r="E8" s="15" t="n"/>
      <c r="F8" s="105" t="n"/>
      <c r="G8" s="105" t="n"/>
      <c r="H8" s="105" t="n"/>
      <c r="I8" s="105" t="n"/>
      <c r="J8" s="105" t="n"/>
      <c r="K8" s="105" t="n"/>
      <c r="L8" s="105" t="n"/>
      <c r="M8" s="105" t="n"/>
      <c r="N8" s="105" t="n"/>
      <c r="O8" s="105" t="n"/>
      <c r="P8" s="105" t="n"/>
      <c r="Q8" s="105" t="n"/>
      <c r="R8" s="105" t="n"/>
      <c r="S8" s="105" t="n"/>
      <c r="T8" s="105" t="n"/>
      <c r="U8" s="105" t="n"/>
      <c r="V8" s="105" t="n"/>
      <c r="W8" s="105" t="n"/>
      <c r="X8" s="105" t="n"/>
      <c r="Y8" s="105" t="n"/>
      <c r="Z8" s="105" t="n"/>
      <c r="AA8" s="105" t="n"/>
      <c r="AB8" s="105" t="n"/>
      <c r="AC8" s="105" t="n"/>
      <c r="AD8" s="105" t="n"/>
      <c r="AE8" s="105" t="n"/>
    </row>
    <row r="9" ht="18" customHeight="1" s="132">
      <c r="B9" s="171" t="n"/>
      <c r="C9" s="105" t="n"/>
      <c r="D9" s="125" t="n"/>
      <c r="E9" s="15" t="n"/>
      <c r="F9" s="105" t="n"/>
      <c r="G9" s="105" t="n"/>
      <c r="H9" s="105" t="n"/>
      <c r="I9" s="105" t="n"/>
      <c r="J9" s="105" t="n"/>
      <c r="K9" s="105" t="n"/>
      <c r="L9" s="105" t="n"/>
      <c r="M9" s="105" t="n"/>
      <c r="N9" s="105" t="n"/>
      <c r="O9" s="105" t="n"/>
      <c r="P9" s="105" t="n"/>
      <c r="Q9" s="105" t="n"/>
      <c r="R9" s="105" t="n"/>
      <c r="S9" s="105" t="n"/>
      <c r="T9" s="105" t="n"/>
      <c r="U9" s="105" t="n"/>
      <c r="V9" s="105" t="n"/>
      <c r="W9" s="105" t="n"/>
      <c r="X9" s="105" t="n"/>
      <c r="Y9" s="105" t="n"/>
      <c r="Z9" s="105" t="n"/>
      <c r="AA9" s="105" t="n"/>
      <c r="AB9" s="105" t="n"/>
      <c r="AC9" s="105" t="n"/>
      <c r="AD9" s="105" t="n"/>
      <c r="AE9" s="105" t="n"/>
    </row>
    <row r="10" ht="12.75" customHeight="1" s="132">
      <c r="B10" s="242" t="n">
        <v>0</v>
      </c>
      <c r="C10" s="226" t="n"/>
      <c r="D10" s="212" t="inlineStr">
        <is>
          <t>Sətrin kodu</t>
        </is>
      </c>
      <c r="E10" s="208" t="inlineStr">
        <is>
          <t>Zərərlərin ödənilməsi (inkişafı) rübləri</t>
        </is>
      </c>
      <c r="F10" s="227" t="n"/>
      <c r="G10" s="227" t="n"/>
      <c r="H10" s="227" t="n"/>
      <c r="I10" s="227" t="n"/>
      <c r="J10" s="227" t="n"/>
      <c r="K10" s="227" t="n"/>
      <c r="L10" s="227" t="n"/>
      <c r="M10" s="227" t="n"/>
      <c r="N10" s="227" t="n"/>
      <c r="O10" s="227" t="n"/>
      <c r="P10" s="227" t="n"/>
      <c r="Q10" s="227" t="n"/>
      <c r="R10" s="227" t="n"/>
      <c r="S10" s="227" t="n"/>
      <c r="T10" s="227" t="n"/>
      <c r="U10" s="227" t="n"/>
      <c r="V10" s="227" t="n"/>
      <c r="W10" s="227" t="n"/>
      <c r="X10" s="228" t="n"/>
      <c r="Y10" s="207" t="inlineStr">
        <is>
          <t>Qazanılmış məcmu sığorta haqları</t>
        </is>
      </c>
      <c r="Z10" s="207" t="inlineStr">
        <is>
          <t>Ödənilmiş zərərlər əmsalı</t>
        </is>
      </c>
      <c r="AA10" s="207" t="inlineStr">
        <is>
          <t>Baş vermiş zərərlərin gözlənilən əmsalı</t>
        </is>
      </c>
      <c r="AB10" s="207" t="inlineStr">
        <is>
          <t>Baş vermiş zərərlərin gözlənilən məbləği</t>
        </is>
      </c>
      <c r="AC10" s="207" t="inlineStr">
        <is>
          <t>Baş vermiş, lakin ödənilmə-miş zərərlərin məcmu məbləği</t>
        </is>
      </c>
      <c r="AD10" s="207" t="inlineStr">
        <is>
          <t>Bildirilmiş, lakin tənzimlən-məmiş zərərlərin məbləği</t>
        </is>
      </c>
      <c r="AE10" s="207" t="inlineStr">
        <is>
          <t>Baş vermiş, lakin bildirilmə-miş zərərlərin məcmu məbləği</t>
        </is>
      </c>
    </row>
    <row r="11" ht="81.75" customHeight="1" s="132">
      <c r="B11" s="229" t="n"/>
      <c r="C11" s="230" t="n"/>
      <c r="D11" s="231" t="n"/>
      <c r="E11" s="207" t="n">
        <v>1</v>
      </c>
      <c r="F11" s="207" t="n">
        <v>2</v>
      </c>
      <c r="G11" s="207" t="n">
        <v>3</v>
      </c>
      <c r="H11" s="207" t="n">
        <v>4</v>
      </c>
      <c r="I11" s="207" t="n">
        <v>5</v>
      </c>
      <c r="J11" s="207" t="n">
        <v>6</v>
      </c>
      <c r="K11" s="207" t="n">
        <v>7</v>
      </c>
      <c r="L11" s="207" t="n">
        <v>8</v>
      </c>
      <c r="M11" s="207" t="n">
        <v>9</v>
      </c>
      <c r="N11" s="207" t="n">
        <v>10</v>
      </c>
      <c r="O11" s="207" t="n">
        <v>11</v>
      </c>
      <c r="P11" s="207" t="n">
        <v>12</v>
      </c>
      <c r="Q11" s="207" t="n">
        <v>13</v>
      </c>
      <c r="R11" s="207" t="n">
        <v>14</v>
      </c>
      <c r="S11" s="207" t="n">
        <v>15</v>
      </c>
      <c r="T11" s="207" t="n">
        <v>16</v>
      </c>
      <c r="U11" s="207" t="n">
        <v>17</v>
      </c>
      <c r="V11" s="207" t="n">
        <v>18</v>
      </c>
      <c r="W11" s="207" t="n">
        <v>19</v>
      </c>
      <c r="X11" s="207" t="n">
        <v>20</v>
      </c>
      <c r="Y11" s="231" t="n"/>
      <c r="Z11" s="231" t="n"/>
      <c r="AA11" s="231" t="n"/>
      <c r="AB11" s="231" t="n"/>
      <c r="AC11" s="231" t="n"/>
      <c r="AD11" s="231" t="n"/>
      <c r="AE11" s="231" t="n"/>
    </row>
    <row r="12">
      <c r="B12" s="225" t="n">
        <v>1</v>
      </c>
      <c r="C12" s="232" t="n"/>
      <c r="D12" s="126" t="n">
        <v>2</v>
      </c>
      <c r="E12" s="107" t="n">
        <v>3</v>
      </c>
      <c r="F12" s="107" t="n">
        <v>4</v>
      </c>
      <c r="G12" s="107" t="n">
        <v>5</v>
      </c>
      <c r="H12" s="107" t="n">
        <v>6</v>
      </c>
      <c r="I12" s="107" t="n">
        <v>7</v>
      </c>
      <c r="J12" s="107" t="n">
        <v>8</v>
      </c>
      <c r="K12" s="107" t="n">
        <v>9</v>
      </c>
      <c r="L12" s="107" t="n">
        <v>10</v>
      </c>
      <c r="M12" s="107" t="n">
        <v>11</v>
      </c>
      <c r="N12" s="107" t="n">
        <v>12</v>
      </c>
      <c r="O12" s="107" t="n">
        <v>13</v>
      </c>
      <c r="P12" s="107" t="n">
        <v>14</v>
      </c>
      <c r="Q12" s="107" t="n">
        <v>15</v>
      </c>
      <c r="R12" s="107" t="n">
        <v>16</v>
      </c>
      <c r="S12" s="107" t="n">
        <v>17</v>
      </c>
      <c r="T12" s="107" t="n">
        <v>18</v>
      </c>
      <c r="U12" s="107" t="n">
        <v>19</v>
      </c>
      <c r="V12" s="107" t="n">
        <v>20</v>
      </c>
      <c r="W12" s="107" t="n">
        <v>21</v>
      </c>
      <c r="X12" s="107" t="n">
        <v>22</v>
      </c>
      <c r="Y12" s="107" t="inlineStr">
        <is>
          <t>(Н+3)</t>
        </is>
      </c>
      <c r="Z12" s="107" t="inlineStr">
        <is>
          <t>(Н+4)</t>
        </is>
      </c>
      <c r="AA12" s="107" t="inlineStr">
        <is>
          <t>(Н+5)</t>
        </is>
      </c>
      <c r="AB12" s="107" t="inlineStr">
        <is>
          <t>(Н+6)</t>
        </is>
      </c>
      <c r="AC12" s="107" t="inlineStr">
        <is>
          <t>(Н+7)</t>
        </is>
      </c>
      <c r="AD12" s="107" t="inlineStr">
        <is>
          <t>(Н+8)</t>
        </is>
      </c>
      <c r="AE12" s="107" t="inlineStr">
        <is>
          <t>(Н+9)</t>
        </is>
      </c>
    </row>
    <row r="13" ht="12.75" customHeight="1" s="132">
      <c r="A13" t="inlineStr">
        <is>
          <t>A1</t>
        </is>
      </c>
      <c r="B13" s="234" t="inlineStr">
        <is>
          <t>Zərərlərin baş verməsi rübləri</t>
        </is>
      </c>
      <c r="C13" s="108" t="n">
        <v>1</v>
      </c>
      <c r="D13" s="237" t="n">
        <v>44287</v>
      </c>
      <c r="E13" s="243" t="n">
        <v>0</v>
      </c>
      <c r="F13" s="243" t="n">
        <v>0</v>
      </c>
      <c r="G13" s="243" t="n">
        <v>0</v>
      </c>
      <c r="H13" s="243" t="n">
        <v>0</v>
      </c>
      <c r="I13" s="243" t="n">
        <v>0</v>
      </c>
      <c r="J13" s="243" t="n">
        <v>0</v>
      </c>
      <c r="K13" s="243" t="n">
        <v>0</v>
      </c>
      <c r="L13" s="243" t="n">
        <v>0</v>
      </c>
      <c r="M13" s="243" t="n">
        <v>0</v>
      </c>
      <c r="N13" s="243" t="n">
        <v>0</v>
      </c>
      <c r="O13" s="243" t="n">
        <v>0</v>
      </c>
      <c r="P13" s="243" t="n">
        <v>0</v>
      </c>
      <c r="Q13" s="243" t="n">
        <v>0</v>
      </c>
      <c r="R13" s="243" t="n">
        <v>0</v>
      </c>
      <c r="S13" s="243" t="n">
        <v>0</v>
      </c>
      <c r="T13" s="243" t="n">
        <v>0</v>
      </c>
      <c r="U13" s="243" t="n">
        <v>0</v>
      </c>
      <c r="V13" s="243" t="n">
        <v>0</v>
      </c>
      <c r="W13" s="243" t="n">
        <v>0</v>
      </c>
      <c r="X13" s="243" t="n">
        <v>0</v>
      </c>
      <c r="Y13" s="241" t="n">
        <v>143892.18</v>
      </c>
      <c r="Z13" s="247" t="n">
        <v>0</v>
      </c>
      <c r="AA13" s="247" t="n">
        <v>0.2</v>
      </c>
      <c r="AB13" s="243" t="n">
        <v>28778.44</v>
      </c>
      <c r="AC13" s="243" t="n">
        <v>0</v>
      </c>
      <c r="AD13" s="220" t="n">
        <v>0</v>
      </c>
      <c r="AE13" s="243" t="n">
        <v>0</v>
      </c>
    </row>
    <row r="14">
      <c r="A14" t="inlineStr">
        <is>
          <t>A2</t>
        </is>
      </c>
      <c r="B14" s="233" t="n"/>
      <c r="C14" s="108" t="n">
        <v>2</v>
      </c>
      <c r="D14" s="237" t="n">
        <v>44378</v>
      </c>
      <c r="E14" s="243" t="n">
        <v>0</v>
      </c>
      <c r="F14" s="243" t="n">
        <v>0</v>
      </c>
      <c r="G14" s="243" t="n">
        <v>0</v>
      </c>
      <c r="H14" s="243" t="n">
        <v>0</v>
      </c>
      <c r="I14" s="243" t="n">
        <v>0</v>
      </c>
      <c r="J14" s="243" t="n">
        <v>0</v>
      </c>
      <c r="K14" s="243" t="n">
        <v>0</v>
      </c>
      <c r="L14" s="243" t="n">
        <v>0</v>
      </c>
      <c r="M14" s="243" t="n">
        <v>0</v>
      </c>
      <c r="N14" s="243" t="n">
        <v>0</v>
      </c>
      <c r="O14" s="243" t="n">
        <v>0</v>
      </c>
      <c r="P14" s="243" t="n">
        <v>0</v>
      </c>
      <c r="Q14" s="243" t="n">
        <v>0</v>
      </c>
      <c r="R14" s="243" t="n">
        <v>0</v>
      </c>
      <c r="S14" s="243" t="n">
        <v>0</v>
      </c>
      <c r="T14" s="243" t="n">
        <v>0</v>
      </c>
      <c r="U14" s="243" t="n">
        <v>0</v>
      </c>
      <c r="V14" s="243" t="n">
        <v>0</v>
      </c>
      <c r="W14" s="243" t="n">
        <v>0</v>
      </c>
      <c r="X14" s="220" t="inlineStr">
        <is>
          <t>X</t>
        </is>
      </c>
      <c r="Y14" s="241" t="n">
        <v>139831.89</v>
      </c>
      <c r="Z14" s="247" t="n">
        <v>0</v>
      </c>
      <c r="AA14" s="247" t="n">
        <v>0.2</v>
      </c>
      <c r="AB14" s="243" t="n">
        <v>27966.38</v>
      </c>
      <c r="AC14" s="243" t="n">
        <v>0</v>
      </c>
      <c r="AD14" s="220" t="n">
        <v>0</v>
      </c>
      <c r="AE14" s="243" t="n">
        <v>0</v>
      </c>
    </row>
    <row r="15">
      <c r="A15" t="inlineStr">
        <is>
          <t>A3</t>
        </is>
      </c>
      <c r="B15" s="233" t="n"/>
      <c r="C15" s="108" t="n">
        <v>3</v>
      </c>
      <c r="D15" s="237" t="n">
        <v>44470</v>
      </c>
      <c r="E15" s="243" t="n">
        <v>0</v>
      </c>
      <c r="F15" s="243" t="n">
        <v>0</v>
      </c>
      <c r="G15" s="243" t="n">
        <v>0</v>
      </c>
      <c r="H15" s="243" t="n">
        <v>0</v>
      </c>
      <c r="I15" s="243" t="n">
        <v>0</v>
      </c>
      <c r="J15" s="243" t="n">
        <v>0</v>
      </c>
      <c r="K15" s="243" t="n">
        <v>0</v>
      </c>
      <c r="L15" s="243" t="n">
        <v>0</v>
      </c>
      <c r="M15" s="243" t="n">
        <v>0</v>
      </c>
      <c r="N15" s="243" t="n">
        <v>0</v>
      </c>
      <c r="O15" s="243" t="n">
        <v>0</v>
      </c>
      <c r="P15" s="243" t="n">
        <v>0</v>
      </c>
      <c r="Q15" s="243" t="n">
        <v>0</v>
      </c>
      <c r="R15" s="243" t="n">
        <v>0</v>
      </c>
      <c r="S15" s="243" t="n">
        <v>0</v>
      </c>
      <c r="T15" s="243" t="n">
        <v>0</v>
      </c>
      <c r="U15" s="243" t="n">
        <v>0</v>
      </c>
      <c r="V15" s="243" t="n">
        <v>0</v>
      </c>
      <c r="W15" s="220" t="inlineStr">
        <is>
          <t>X</t>
        </is>
      </c>
      <c r="X15" s="220" t="inlineStr">
        <is>
          <t>X</t>
        </is>
      </c>
      <c r="Y15" s="241" t="n">
        <v>151007.44</v>
      </c>
      <c r="Z15" s="247" t="n">
        <v>0</v>
      </c>
      <c r="AA15" s="247" t="n">
        <v>0.2</v>
      </c>
      <c r="AB15" s="243" t="n">
        <v>30201.49</v>
      </c>
      <c r="AC15" s="243" t="n">
        <v>0</v>
      </c>
      <c r="AD15" s="220" t="n">
        <v>0</v>
      </c>
      <c r="AE15" s="243" t="n">
        <v>0</v>
      </c>
    </row>
    <row r="16">
      <c r="A16" t="inlineStr">
        <is>
          <t>A4</t>
        </is>
      </c>
      <c r="B16" s="233" t="n"/>
      <c r="C16" s="108" t="n">
        <v>4</v>
      </c>
      <c r="D16" s="237" t="n">
        <v>44562</v>
      </c>
      <c r="E16" s="243" t="n">
        <v>1396</v>
      </c>
      <c r="F16" s="243" t="n">
        <v>1396</v>
      </c>
      <c r="G16" s="243" t="n">
        <v>1396</v>
      </c>
      <c r="H16" s="243" t="n">
        <v>1396</v>
      </c>
      <c r="I16" s="243" t="n">
        <v>1396</v>
      </c>
      <c r="J16" s="243" t="n">
        <v>1396</v>
      </c>
      <c r="K16" s="243" t="n">
        <v>1396</v>
      </c>
      <c r="L16" s="243" t="n">
        <v>1396</v>
      </c>
      <c r="M16" s="243" t="n">
        <v>1396</v>
      </c>
      <c r="N16" s="243" t="n">
        <v>1396</v>
      </c>
      <c r="O16" s="243" t="n">
        <v>1396</v>
      </c>
      <c r="P16" s="243" t="n">
        <v>1396</v>
      </c>
      <c r="Q16" s="243" t="n">
        <v>1396</v>
      </c>
      <c r="R16" s="243" t="n">
        <v>1396</v>
      </c>
      <c r="S16" s="243" t="n">
        <v>1396</v>
      </c>
      <c r="T16" s="243" t="n">
        <v>1396</v>
      </c>
      <c r="U16" s="243" t="n">
        <v>1396</v>
      </c>
      <c r="V16" s="220" t="inlineStr">
        <is>
          <t>X</t>
        </is>
      </c>
      <c r="W16" s="220" t="inlineStr">
        <is>
          <t>X</t>
        </is>
      </c>
      <c r="X16" s="220" t="inlineStr">
        <is>
          <t>X</t>
        </is>
      </c>
      <c r="Y16" s="241" t="n">
        <v>173149.04</v>
      </c>
      <c r="Z16" s="247" t="n">
        <v>0.0081</v>
      </c>
      <c r="AA16" s="247" t="n">
        <v>0.2</v>
      </c>
      <c r="AB16" s="243" t="n">
        <v>34629.81</v>
      </c>
      <c r="AC16" s="243" t="n">
        <v>0</v>
      </c>
      <c r="AD16" s="220" t="n">
        <v>916.7</v>
      </c>
      <c r="AE16" s="243" t="n">
        <v>0</v>
      </c>
    </row>
    <row r="17">
      <c r="A17" t="inlineStr">
        <is>
          <t>A5</t>
        </is>
      </c>
      <c r="B17" s="233" t="n"/>
      <c r="C17" s="108" t="n">
        <v>5</v>
      </c>
      <c r="D17" s="237" t="n">
        <v>44652</v>
      </c>
      <c r="E17" s="243" t="n">
        <v>0</v>
      </c>
      <c r="F17" s="243" t="n">
        <v>0</v>
      </c>
      <c r="G17" s="243" t="n">
        <v>0</v>
      </c>
      <c r="H17" s="243" t="n">
        <v>0</v>
      </c>
      <c r="I17" s="243" t="n">
        <v>0</v>
      </c>
      <c r="J17" s="243" t="n">
        <v>0</v>
      </c>
      <c r="K17" s="243" t="n">
        <v>0</v>
      </c>
      <c r="L17" s="243" t="n">
        <v>0</v>
      </c>
      <c r="M17" s="243" t="n">
        <v>0</v>
      </c>
      <c r="N17" s="243" t="n">
        <v>0</v>
      </c>
      <c r="O17" s="243" t="n">
        <v>0</v>
      </c>
      <c r="P17" s="243" t="n">
        <v>0</v>
      </c>
      <c r="Q17" s="243" t="n">
        <v>0</v>
      </c>
      <c r="R17" s="243" t="n">
        <v>0</v>
      </c>
      <c r="S17" s="243" t="n">
        <v>0</v>
      </c>
      <c r="T17" s="243" t="n">
        <v>0</v>
      </c>
      <c r="U17" s="220" t="inlineStr">
        <is>
          <t>X</t>
        </is>
      </c>
      <c r="V17" s="220" t="inlineStr">
        <is>
          <t>X</t>
        </is>
      </c>
      <c r="W17" s="220" t="inlineStr">
        <is>
          <t>X</t>
        </is>
      </c>
      <c r="X17" s="220" t="inlineStr">
        <is>
          <t>X</t>
        </is>
      </c>
      <c r="Y17" s="241" t="n">
        <v>184216.8</v>
      </c>
      <c r="Z17" s="247" t="n">
        <v>0</v>
      </c>
      <c r="AA17" s="247" t="n">
        <v>0.2</v>
      </c>
      <c r="AB17" s="243" t="n">
        <v>36843.36</v>
      </c>
      <c r="AC17" s="243" t="n">
        <v>0</v>
      </c>
      <c r="AD17" s="220" t="n">
        <v>0</v>
      </c>
      <c r="AE17" s="243" t="n">
        <v>0</v>
      </c>
    </row>
    <row r="18">
      <c r="A18" t="inlineStr">
        <is>
          <t>A6</t>
        </is>
      </c>
      <c r="B18" s="233" t="n"/>
      <c r="C18" s="108" t="n">
        <v>6</v>
      </c>
      <c r="D18" s="237" t="n">
        <v>44743</v>
      </c>
      <c r="E18" s="243" t="n">
        <v>0</v>
      </c>
      <c r="F18" s="243" t="n">
        <v>0</v>
      </c>
      <c r="G18" s="243" t="n">
        <v>0</v>
      </c>
      <c r="H18" s="243" t="n">
        <v>0</v>
      </c>
      <c r="I18" s="243" t="n">
        <v>0</v>
      </c>
      <c r="J18" s="243" t="n">
        <v>0</v>
      </c>
      <c r="K18" s="243" t="n">
        <v>0</v>
      </c>
      <c r="L18" s="243" t="n">
        <v>0</v>
      </c>
      <c r="M18" s="243" t="n">
        <v>0</v>
      </c>
      <c r="N18" s="243" t="n">
        <v>0</v>
      </c>
      <c r="O18" s="243" t="n">
        <v>0</v>
      </c>
      <c r="P18" s="243" t="n">
        <v>0</v>
      </c>
      <c r="Q18" s="243" t="n">
        <v>0</v>
      </c>
      <c r="R18" s="243" t="n">
        <v>0</v>
      </c>
      <c r="S18" s="243" t="n">
        <v>0</v>
      </c>
      <c r="T18" s="220" t="inlineStr">
        <is>
          <t>X</t>
        </is>
      </c>
      <c r="U18" s="220" t="inlineStr">
        <is>
          <t>X</t>
        </is>
      </c>
      <c r="V18" s="220" t="inlineStr">
        <is>
          <t>X</t>
        </is>
      </c>
      <c r="W18" s="220" t="inlineStr">
        <is>
          <t>X</t>
        </is>
      </c>
      <c r="X18" s="220" t="inlineStr">
        <is>
          <t>X</t>
        </is>
      </c>
      <c r="Y18" s="241" t="n">
        <v>181155.24</v>
      </c>
      <c r="Z18" s="247" t="n">
        <v>0</v>
      </c>
      <c r="AA18" s="247" t="n">
        <v>0.2</v>
      </c>
      <c r="AB18" s="243" t="n">
        <v>36231.05</v>
      </c>
      <c r="AC18" s="243" t="n">
        <v>0</v>
      </c>
      <c r="AD18" s="220" t="n">
        <v>0</v>
      </c>
      <c r="AE18" s="243" t="n">
        <v>0</v>
      </c>
    </row>
    <row r="19">
      <c r="A19" t="inlineStr">
        <is>
          <t>A7</t>
        </is>
      </c>
      <c r="B19" s="233" t="n"/>
      <c r="C19" s="108" t="n">
        <v>7</v>
      </c>
      <c r="D19" s="237" t="n">
        <v>44835</v>
      </c>
      <c r="E19" s="243" t="n">
        <v>0</v>
      </c>
      <c r="F19" s="243" t="n">
        <v>0</v>
      </c>
      <c r="G19" s="243" t="n">
        <v>42500</v>
      </c>
      <c r="H19" s="243" t="n">
        <v>42500</v>
      </c>
      <c r="I19" s="243" t="n">
        <v>42500</v>
      </c>
      <c r="J19" s="243" t="n">
        <v>42500</v>
      </c>
      <c r="K19" s="243" t="n">
        <v>42500</v>
      </c>
      <c r="L19" s="243" t="n">
        <v>42500</v>
      </c>
      <c r="M19" s="243" t="n">
        <v>42500</v>
      </c>
      <c r="N19" s="243" t="n">
        <v>42500</v>
      </c>
      <c r="O19" s="243" t="n">
        <v>42500</v>
      </c>
      <c r="P19" s="243" t="n">
        <v>42500</v>
      </c>
      <c r="Q19" s="243" t="n">
        <v>42500</v>
      </c>
      <c r="R19" s="243" t="n">
        <v>42500</v>
      </c>
      <c r="S19" s="220" t="inlineStr">
        <is>
          <t>X</t>
        </is>
      </c>
      <c r="T19" s="220" t="inlineStr">
        <is>
          <t>X</t>
        </is>
      </c>
      <c r="U19" s="220" t="inlineStr">
        <is>
          <t>X</t>
        </is>
      </c>
      <c r="V19" s="220" t="inlineStr">
        <is>
          <t>X</t>
        </is>
      </c>
      <c r="W19" s="220" t="inlineStr">
        <is>
          <t>X</t>
        </is>
      </c>
      <c r="X19" s="220" t="inlineStr">
        <is>
          <t>X</t>
        </is>
      </c>
      <c r="Y19" s="241" t="n">
        <v>159923.56</v>
      </c>
      <c r="Z19" s="247" t="n">
        <v>0.2658</v>
      </c>
      <c r="AA19" s="247" t="n">
        <v>0.2</v>
      </c>
      <c r="AB19" s="243" t="n">
        <v>31984.71</v>
      </c>
      <c r="AC19" s="243" t="n">
        <v>0</v>
      </c>
      <c r="AD19" s="220" t="n">
        <v>0</v>
      </c>
      <c r="AE19" s="243" t="n">
        <v>0</v>
      </c>
    </row>
    <row r="20">
      <c r="A20" t="inlineStr">
        <is>
          <t>A8</t>
        </is>
      </c>
      <c r="B20" s="233" t="n"/>
      <c r="C20" s="108" t="n">
        <v>8</v>
      </c>
      <c r="D20" s="237" t="n">
        <v>44927</v>
      </c>
      <c r="E20" s="243" t="n">
        <v>0</v>
      </c>
      <c r="F20" s="243" t="n">
        <v>2271.19</v>
      </c>
      <c r="G20" s="243" t="n">
        <v>2271.19</v>
      </c>
      <c r="H20" s="243" t="n">
        <v>2271.19</v>
      </c>
      <c r="I20" s="243" t="n">
        <v>2271.19</v>
      </c>
      <c r="J20" s="243" t="n">
        <v>2271.19</v>
      </c>
      <c r="K20" s="243" t="n">
        <v>2271.19</v>
      </c>
      <c r="L20" s="243" t="n">
        <v>2271.19</v>
      </c>
      <c r="M20" s="243" t="n">
        <v>2271.19</v>
      </c>
      <c r="N20" s="243" t="n">
        <v>2271.19</v>
      </c>
      <c r="O20" s="243" t="n">
        <v>2271.19</v>
      </c>
      <c r="P20" s="243" t="n">
        <v>2271.19</v>
      </c>
      <c r="Q20" s="243" t="n">
        <v>2271.19</v>
      </c>
      <c r="R20" s="220" t="inlineStr">
        <is>
          <t>X</t>
        </is>
      </c>
      <c r="S20" s="220" t="inlineStr">
        <is>
          <t>X</t>
        </is>
      </c>
      <c r="T20" s="220" t="inlineStr">
        <is>
          <t>X</t>
        </is>
      </c>
      <c r="U20" s="220" t="inlineStr">
        <is>
          <t>X</t>
        </is>
      </c>
      <c r="V20" s="220" t="inlineStr">
        <is>
          <t>X</t>
        </is>
      </c>
      <c r="W20" s="220" t="inlineStr">
        <is>
          <t>X</t>
        </is>
      </c>
      <c r="X20" s="220" t="inlineStr">
        <is>
          <t>X</t>
        </is>
      </c>
      <c r="Y20" s="241" t="n">
        <v>174169.36</v>
      </c>
      <c r="Z20" s="247" t="n">
        <v>0.013</v>
      </c>
      <c r="AA20" s="247" t="n">
        <v>0.2</v>
      </c>
      <c r="AB20" s="243" t="n">
        <v>34833.87</v>
      </c>
      <c r="AC20" s="243" t="n">
        <v>0</v>
      </c>
      <c r="AD20" s="220" t="n">
        <v>0</v>
      </c>
      <c r="AE20" s="243" t="n">
        <v>0</v>
      </c>
    </row>
    <row r="21">
      <c r="A21" t="inlineStr">
        <is>
          <t>A9</t>
        </is>
      </c>
      <c r="B21" s="233" t="n"/>
      <c r="C21" s="108" t="n">
        <v>9</v>
      </c>
      <c r="D21" s="237" t="n">
        <v>45017</v>
      </c>
      <c r="E21" s="243" t="n">
        <v>0</v>
      </c>
      <c r="F21" s="243" t="n">
        <v>0</v>
      </c>
      <c r="G21" s="243" t="n">
        <v>0</v>
      </c>
      <c r="H21" s="243" t="n">
        <v>0</v>
      </c>
      <c r="I21" s="243" t="n">
        <v>0</v>
      </c>
      <c r="J21" s="243" t="n">
        <v>0</v>
      </c>
      <c r="K21" s="243" t="n">
        <v>0</v>
      </c>
      <c r="L21" s="243" t="n">
        <v>0</v>
      </c>
      <c r="M21" s="243" t="n">
        <v>0</v>
      </c>
      <c r="N21" s="243" t="n">
        <v>0</v>
      </c>
      <c r="O21" s="243" t="n">
        <v>0</v>
      </c>
      <c r="P21" s="243" t="n">
        <v>0</v>
      </c>
      <c r="Q21" s="220" t="inlineStr">
        <is>
          <t>X</t>
        </is>
      </c>
      <c r="R21" s="220" t="inlineStr">
        <is>
          <t>X</t>
        </is>
      </c>
      <c r="S21" s="220" t="inlineStr">
        <is>
          <t>X</t>
        </is>
      </c>
      <c r="T21" s="220" t="inlineStr">
        <is>
          <t>X</t>
        </is>
      </c>
      <c r="U21" s="220" t="inlineStr">
        <is>
          <t>X</t>
        </is>
      </c>
      <c r="V21" s="220" t="inlineStr">
        <is>
          <t>X</t>
        </is>
      </c>
      <c r="W21" s="220" t="inlineStr">
        <is>
          <t>X</t>
        </is>
      </c>
      <c r="X21" s="220" t="inlineStr">
        <is>
          <t>X</t>
        </is>
      </c>
      <c r="Y21" s="241" t="n">
        <v>176119.87</v>
      </c>
      <c r="Z21" s="247" t="n">
        <v>0</v>
      </c>
      <c r="AA21" s="247" t="n">
        <v>0.2</v>
      </c>
      <c r="AB21" s="243" t="n">
        <v>35223.97</v>
      </c>
      <c r="AC21" s="243" t="n">
        <v>0</v>
      </c>
      <c r="AD21" s="220" t="n">
        <v>0</v>
      </c>
      <c r="AE21" s="243" t="n">
        <v>0</v>
      </c>
    </row>
    <row r="22">
      <c r="A22" t="inlineStr">
        <is>
          <t>A10</t>
        </is>
      </c>
      <c r="B22" s="233" t="n"/>
      <c r="C22" s="108" t="n">
        <v>10</v>
      </c>
      <c r="D22" s="237" t="n">
        <v>45108</v>
      </c>
      <c r="E22" s="243" t="n">
        <v>0</v>
      </c>
      <c r="F22" s="243" t="n">
        <v>0</v>
      </c>
      <c r="G22" s="243" t="n">
        <v>0</v>
      </c>
      <c r="H22" s="243" t="n">
        <v>0</v>
      </c>
      <c r="I22" s="243" t="n">
        <v>0</v>
      </c>
      <c r="J22" s="243" t="n">
        <v>0</v>
      </c>
      <c r="K22" s="243" t="n">
        <v>0</v>
      </c>
      <c r="L22" s="243" t="n">
        <v>0</v>
      </c>
      <c r="M22" s="243" t="n">
        <v>0</v>
      </c>
      <c r="N22" s="243" t="n">
        <v>0</v>
      </c>
      <c r="O22" s="243" t="n">
        <v>0</v>
      </c>
      <c r="P22" s="220" t="inlineStr">
        <is>
          <t>X</t>
        </is>
      </c>
      <c r="Q22" s="220" t="inlineStr">
        <is>
          <t>X</t>
        </is>
      </c>
      <c r="R22" s="220" t="inlineStr">
        <is>
          <t>X</t>
        </is>
      </c>
      <c r="S22" s="220" t="inlineStr">
        <is>
          <t>X</t>
        </is>
      </c>
      <c r="T22" s="220" t="inlineStr">
        <is>
          <t>X</t>
        </is>
      </c>
      <c r="U22" s="220" t="inlineStr">
        <is>
          <t>X</t>
        </is>
      </c>
      <c r="V22" s="220" t="inlineStr">
        <is>
          <t>X</t>
        </is>
      </c>
      <c r="W22" s="220" t="inlineStr">
        <is>
          <t>X</t>
        </is>
      </c>
      <c r="X22" s="220" t="inlineStr">
        <is>
          <t>X</t>
        </is>
      </c>
      <c r="Y22" s="241" t="n">
        <v>199837.91</v>
      </c>
      <c r="Z22" s="247" t="n">
        <v>0</v>
      </c>
      <c r="AA22" s="247" t="n">
        <v>0.2</v>
      </c>
      <c r="AB22" s="243" t="n">
        <v>39967.58</v>
      </c>
      <c r="AC22" s="243" t="n">
        <v>0</v>
      </c>
      <c r="AD22" s="220" t="n">
        <v>0</v>
      </c>
      <c r="AE22" s="243" t="n">
        <v>0</v>
      </c>
    </row>
    <row r="23">
      <c r="A23" t="inlineStr">
        <is>
          <t>A11</t>
        </is>
      </c>
      <c r="B23" s="233" t="n"/>
      <c r="C23" s="108" t="n">
        <v>11</v>
      </c>
      <c r="D23" s="237" t="n">
        <v>45200</v>
      </c>
      <c r="E23" s="243" t="n">
        <v>780</v>
      </c>
      <c r="F23" s="243" t="n">
        <v>6900</v>
      </c>
      <c r="G23" s="243" t="n">
        <v>6900</v>
      </c>
      <c r="H23" s="243" t="n">
        <v>6900</v>
      </c>
      <c r="I23" s="243" t="n">
        <v>6900</v>
      </c>
      <c r="J23" s="243" t="n">
        <v>6900</v>
      </c>
      <c r="K23" s="243" t="n">
        <v>6900</v>
      </c>
      <c r="L23" s="243" t="n">
        <v>6900</v>
      </c>
      <c r="M23" s="243" t="n">
        <v>6900</v>
      </c>
      <c r="N23" s="243" t="n">
        <v>6900</v>
      </c>
      <c r="O23" s="220" t="inlineStr">
        <is>
          <t>X</t>
        </is>
      </c>
      <c r="P23" s="220" t="inlineStr">
        <is>
          <t>X</t>
        </is>
      </c>
      <c r="Q23" s="220" t="inlineStr">
        <is>
          <t>X</t>
        </is>
      </c>
      <c r="R23" s="220" t="inlineStr">
        <is>
          <t>X</t>
        </is>
      </c>
      <c r="S23" s="220" t="inlineStr">
        <is>
          <t>X</t>
        </is>
      </c>
      <c r="T23" s="220" t="inlineStr">
        <is>
          <t>X</t>
        </is>
      </c>
      <c r="U23" s="220" t="inlineStr">
        <is>
          <t>X</t>
        </is>
      </c>
      <c r="V23" s="220" t="inlineStr">
        <is>
          <t>X</t>
        </is>
      </c>
      <c r="W23" s="220" t="inlineStr">
        <is>
          <t>X</t>
        </is>
      </c>
      <c r="X23" s="220" t="inlineStr">
        <is>
          <t>X</t>
        </is>
      </c>
      <c r="Y23" s="241" t="n">
        <v>189807.01</v>
      </c>
      <c r="Z23" s="247" t="n">
        <v>0.0364</v>
      </c>
      <c r="AA23" s="247" t="n">
        <v>0.2</v>
      </c>
      <c r="AB23" s="243" t="n">
        <v>37961.4</v>
      </c>
      <c r="AC23" s="243" t="n">
        <v>0</v>
      </c>
      <c r="AD23" s="220" t="n">
        <v>0</v>
      </c>
      <c r="AE23" s="243" t="n">
        <v>0</v>
      </c>
    </row>
    <row r="24">
      <c r="A24" t="inlineStr">
        <is>
          <t>A12</t>
        </is>
      </c>
      <c r="B24" s="233" t="n"/>
      <c r="C24" s="108" t="n">
        <v>12</v>
      </c>
      <c r="D24" s="237" t="n">
        <v>45292</v>
      </c>
      <c r="E24" s="243" t="n">
        <v>0</v>
      </c>
      <c r="F24" s="243" t="n">
        <v>714</v>
      </c>
      <c r="G24" s="243" t="n">
        <v>714</v>
      </c>
      <c r="H24" s="243" t="n">
        <v>714</v>
      </c>
      <c r="I24" s="243" t="n">
        <v>714</v>
      </c>
      <c r="J24" s="243" t="n">
        <v>714</v>
      </c>
      <c r="K24" s="243" t="n">
        <v>714</v>
      </c>
      <c r="L24" s="243" t="n">
        <v>714</v>
      </c>
      <c r="M24" s="243" t="n">
        <v>714</v>
      </c>
      <c r="N24" s="220" t="inlineStr">
        <is>
          <t>X</t>
        </is>
      </c>
      <c r="O24" s="220" t="inlineStr">
        <is>
          <t>X</t>
        </is>
      </c>
      <c r="P24" s="220" t="inlineStr">
        <is>
          <t>X</t>
        </is>
      </c>
      <c r="Q24" s="220" t="inlineStr">
        <is>
          <t>X</t>
        </is>
      </c>
      <c r="R24" s="220" t="inlineStr">
        <is>
          <t>X</t>
        </is>
      </c>
      <c r="S24" s="220" t="inlineStr">
        <is>
          <t>X</t>
        </is>
      </c>
      <c r="T24" s="220" t="inlineStr">
        <is>
          <t>X</t>
        </is>
      </c>
      <c r="U24" s="220" t="inlineStr">
        <is>
          <t>X</t>
        </is>
      </c>
      <c r="V24" s="220" t="inlineStr">
        <is>
          <t>X</t>
        </is>
      </c>
      <c r="W24" s="220" t="inlineStr">
        <is>
          <t>X</t>
        </is>
      </c>
      <c r="X24" s="220" t="inlineStr">
        <is>
          <t>X</t>
        </is>
      </c>
      <c r="Y24" s="241" t="n">
        <v>203191.76</v>
      </c>
      <c r="Z24" s="247" t="n">
        <v>0.0035</v>
      </c>
      <c r="AA24" s="247" t="n">
        <v>0.2</v>
      </c>
      <c r="AB24" s="243" t="n">
        <v>40638.35</v>
      </c>
      <c r="AC24" s="243" t="n">
        <v>0</v>
      </c>
      <c r="AD24" s="220" t="n">
        <v>0</v>
      </c>
      <c r="AE24" s="243" t="n">
        <v>0</v>
      </c>
    </row>
    <row r="25">
      <c r="A25" t="inlineStr">
        <is>
          <t>A13</t>
        </is>
      </c>
      <c r="B25" s="233" t="n"/>
      <c r="C25" s="108" t="n">
        <v>13</v>
      </c>
      <c r="D25" s="237" t="n">
        <v>45383</v>
      </c>
      <c r="E25" s="243" t="n">
        <v>0</v>
      </c>
      <c r="F25" s="243" t="n">
        <v>0</v>
      </c>
      <c r="G25" s="243" t="n">
        <v>0</v>
      </c>
      <c r="H25" s="243" t="n">
        <v>0</v>
      </c>
      <c r="I25" s="243" t="n">
        <v>0</v>
      </c>
      <c r="J25" s="243" t="n">
        <v>0</v>
      </c>
      <c r="K25" s="243" t="n">
        <v>0</v>
      </c>
      <c r="L25" s="243" t="n">
        <v>0</v>
      </c>
      <c r="M25" s="220" t="inlineStr">
        <is>
          <t>X</t>
        </is>
      </c>
      <c r="N25" s="220" t="inlineStr">
        <is>
          <t>X</t>
        </is>
      </c>
      <c r="O25" s="220" t="inlineStr">
        <is>
          <t>X</t>
        </is>
      </c>
      <c r="P25" s="220" t="inlineStr">
        <is>
          <t>X</t>
        </is>
      </c>
      <c r="Q25" s="220" t="inlineStr">
        <is>
          <t>X</t>
        </is>
      </c>
      <c r="R25" s="220" t="inlineStr">
        <is>
          <t>X</t>
        </is>
      </c>
      <c r="S25" s="220" t="inlineStr">
        <is>
          <t>X</t>
        </is>
      </c>
      <c r="T25" s="220" t="inlineStr">
        <is>
          <t>X</t>
        </is>
      </c>
      <c r="U25" s="220" t="inlineStr">
        <is>
          <t>X</t>
        </is>
      </c>
      <c r="V25" s="220" t="inlineStr">
        <is>
          <t>X</t>
        </is>
      </c>
      <c r="W25" s="220" t="inlineStr">
        <is>
          <t>X</t>
        </is>
      </c>
      <c r="X25" s="220" t="inlineStr">
        <is>
          <t>X</t>
        </is>
      </c>
      <c r="Y25" s="241" t="n">
        <v>161584.55</v>
      </c>
      <c r="Z25" s="247" t="n">
        <v>0</v>
      </c>
      <c r="AA25" s="247" t="n">
        <v>0.2</v>
      </c>
      <c r="AB25" s="243" t="n">
        <v>32316.91</v>
      </c>
      <c r="AC25" s="243" t="n">
        <v>0</v>
      </c>
      <c r="AD25" s="220" t="n">
        <v>2890</v>
      </c>
      <c r="AE25" s="243" t="n">
        <v>0</v>
      </c>
    </row>
    <row r="26">
      <c r="A26" t="inlineStr">
        <is>
          <t>A14</t>
        </is>
      </c>
      <c r="B26" s="233" t="n"/>
      <c r="C26" s="108" t="n">
        <v>14</v>
      </c>
      <c r="D26" s="237" t="n">
        <v>45474</v>
      </c>
      <c r="E26" s="243" t="n">
        <v>0</v>
      </c>
      <c r="F26" s="243" t="n">
        <v>0</v>
      </c>
      <c r="G26" s="243" t="n">
        <v>0</v>
      </c>
      <c r="H26" s="243" t="n">
        <v>0</v>
      </c>
      <c r="I26" s="243" t="n">
        <v>0</v>
      </c>
      <c r="J26" s="243" t="n">
        <v>0</v>
      </c>
      <c r="K26" s="243" t="n">
        <v>0</v>
      </c>
      <c r="L26" s="220" t="inlineStr">
        <is>
          <t>X</t>
        </is>
      </c>
      <c r="M26" s="220" t="inlineStr">
        <is>
          <t>X</t>
        </is>
      </c>
      <c r="N26" s="220" t="inlineStr">
        <is>
          <t>X</t>
        </is>
      </c>
      <c r="O26" s="220" t="inlineStr">
        <is>
          <t>X</t>
        </is>
      </c>
      <c r="P26" s="220" t="inlineStr">
        <is>
          <t>X</t>
        </is>
      </c>
      <c r="Q26" s="220" t="inlineStr">
        <is>
          <t>X</t>
        </is>
      </c>
      <c r="R26" s="220" t="inlineStr">
        <is>
          <t>X</t>
        </is>
      </c>
      <c r="S26" s="220" t="inlineStr">
        <is>
          <t>X</t>
        </is>
      </c>
      <c r="T26" s="220" t="inlineStr">
        <is>
          <t>X</t>
        </is>
      </c>
      <c r="U26" s="220" t="inlineStr">
        <is>
          <t>X</t>
        </is>
      </c>
      <c r="V26" s="220" t="inlineStr">
        <is>
          <t>X</t>
        </is>
      </c>
      <c r="W26" s="220" t="inlineStr">
        <is>
          <t>X</t>
        </is>
      </c>
      <c r="X26" s="220" t="inlineStr">
        <is>
          <t>X</t>
        </is>
      </c>
      <c r="Y26" s="241" t="n">
        <v>156392.98</v>
      </c>
      <c r="Z26" s="247" t="n">
        <v>0</v>
      </c>
      <c r="AA26" s="247" t="n">
        <v>0.2</v>
      </c>
      <c r="AB26" s="243" t="n">
        <v>31278.6</v>
      </c>
      <c r="AC26" s="243" t="n">
        <v>78.2</v>
      </c>
      <c r="AD26" s="220" t="n">
        <v>20150</v>
      </c>
      <c r="AE26" s="243" t="n">
        <v>0</v>
      </c>
    </row>
    <row r="27">
      <c r="A27" t="inlineStr">
        <is>
          <t>A15</t>
        </is>
      </c>
      <c r="B27" s="233" t="n"/>
      <c r="C27" s="108" t="n">
        <v>15</v>
      </c>
      <c r="D27" s="237" t="n">
        <v>45566</v>
      </c>
      <c r="E27" s="243" t="n">
        <v>0</v>
      </c>
      <c r="F27" s="243" t="n">
        <v>0</v>
      </c>
      <c r="G27" s="243" t="n">
        <v>0</v>
      </c>
      <c r="H27" s="243" t="n">
        <v>0</v>
      </c>
      <c r="I27" s="243" t="n">
        <v>0</v>
      </c>
      <c r="J27" s="243" t="n">
        <v>0</v>
      </c>
      <c r="K27" s="220" t="inlineStr">
        <is>
          <t>X</t>
        </is>
      </c>
      <c r="L27" s="220" t="inlineStr">
        <is>
          <t>X</t>
        </is>
      </c>
      <c r="M27" s="220" t="inlineStr">
        <is>
          <t>X</t>
        </is>
      </c>
      <c r="N27" s="220" t="inlineStr">
        <is>
          <t>X</t>
        </is>
      </c>
      <c r="O27" s="220" t="inlineStr">
        <is>
          <t>X</t>
        </is>
      </c>
      <c r="P27" s="220" t="inlineStr">
        <is>
          <t>X</t>
        </is>
      </c>
      <c r="Q27" s="220" t="inlineStr">
        <is>
          <t>X</t>
        </is>
      </c>
      <c r="R27" s="220" t="inlineStr">
        <is>
          <t>X</t>
        </is>
      </c>
      <c r="S27" s="220" t="inlineStr">
        <is>
          <t>X</t>
        </is>
      </c>
      <c r="T27" s="220" t="inlineStr">
        <is>
          <t>X</t>
        </is>
      </c>
      <c r="U27" s="220" t="inlineStr">
        <is>
          <t>X</t>
        </is>
      </c>
      <c r="V27" s="220" t="inlineStr">
        <is>
          <t>X</t>
        </is>
      </c>
      <c r="W27" s="220" t="inlineStr">
        <is>
          <t>X</t>
        </is>
      </c>
      <c r="X27" s="220" t="inlineStr">
        <is>
          <t>X</t>
        </is>
      </c>
      <c r="Y27" s="241" t="n">
        <v>145805.85</v>
      </c>
      <c r="Z27" s="247" t="n">
        <v>0</v>
      </c>
      <c r="AA27" s="247" t="n">
        <v>0.2</v>
      </c>
      <c r="AB27" s="243" t="n">
        <v>29161.17</v>
      </c>
      <c r="AC27" s="243" t="n">
        <v>539.48</v>
      </c>
      <c r="AD27" s="220" t="n">
        <v>0</v>
      </c>
      <c r="AE27" s="243" t="n">
        <v>539.48</v>
      </c>
    </row>
    <row r="28">
      <c r="A28" t="inlineStr">
        <is>
          <t>A16</t>
        </is>
      </c>
      <c r="B28" s="233" t="n"/>
      <c r="C28" s="108" t="n">
        <v>16</v>
      </c>
      <c r="D28" s="237" t="n">
        <v>45658</v>
      </c>
      <c r="E28" s="243" t="n">
        <v>0</v>
      </c>
      <c r="F28" s="243" t="n">
        <v>0</v>
      </c>
      <c r="G28" s="243" t="n">
        <v>0</v>
      </c>
      <c r="H28" s="243" t="n">
        <v>0</v>
      </c>
      <c r="I28" s="243" t="n">
        <v>0</v>
      </c>
      <c r="J28" s="220" t="inlineStr">
        <is>
          <t>X</t>
        </is>
      </c>
      <c r="K28" s="220" t="inlineStr">
        <is>
          <t>X</t>
        </is>
      </c>
      <c r="L28" s="220" t="inlineStr">
        <is>
          <t>X</t>
        </is>
      </c>
      <c r="M28" s="220" t="inlineStr">
        <is>
          <t>X</t>
        </is>
      </c>
      <c r="N28" s="220" t="inlineStr">
        <is>
          <t>X</t>
        </is>
      </c>
      <c r="O28" s="220" t="inlineStr">
        <is>
          <t>X</t>
        </is>
      </c>
      <c r="P28" s="220" t="inlineStr">
        <is>
          <t>X</t>
        </is>
      </c>
      <c r="Q28" s="220" t="inlineStr">
        <is>
          <t>X</t>
        </is>
      </c>
      <c r="R28" s="220" t="inlineStr">
        <is>
          <t>X</t>
        </is>
      </c>
      <c r="S28" s="220" t="inlineStr">
        <is>
          <t>X</t>
        </is>
      </c>
      <c r="T28" s="220" t="inlineStr">
        <is>
          <t>X</t>
        </is>
      </c>
      <c r="U28" s="220" t="inlineStr">
        <is>
          <t>X</t>
        </is>
      </c>
      <c r="V28" s="220" t="inlineStr">
        <is>
          <t>X</t>
        </is>
      </c>
      <c r="W28" s="220" t="inlineStr">
        <is>
          <t>X</t>
        </is>
      </c>
      <c r="X28" s="220" t="inlineStr">
        <is>
          <t>X</t>
        </is>
      </c>
      <c r="Y28" s="241" t="n">
        <v>233321.39</v>
      </c>
      <c r="Z28" s="247" t="n">
        <v>0</v>
      </c>
      <c r="AA28" s="247" t="n">
        <v>0.2</v>
      </c>
      <c r="AB28" s="243" t="n">
        <v>46664.28</v>
      </c>
      <c r="AC28" s="243" t="n">
        <v>1567.92</v>
      </c>
      <c r="AD28" s="220" t="n">
        <v>0</v>
      </c>
      <c r="AE28" s="243" t="n">
        <v>1567.92</v>
      </c>
    </row>
    <row r="29" ht="12" customHeight="1" s="132">
      <c r="A29" t="inlineStr">
        <is>
          <t>A17</t>
        </is>
      </c>
      <c r="B29" s="233" t="n"/>
      <c r="C29" s="108" t="n">
        <v>17</v>
      </c>
      <c r="D29" s="237" t="n">
        <v>45748</v>
      </c>
      <c r="E29" s="243" t="n">
        <v>0</v>
      </c>
      <c r="F29" s="243" t="n">
        <v>0</v>
      </c>
      <c r="G29" s="243" t="n">
        <v>0</v>
      </c>
      <c r="H29" s="243" t="n">
        <v>0</v>
      </c>
      <c r="I29" s="220" t="inlineStr">
        <is>
          <t>X</t>
        </is>
      </c>
      <c r="J29" s="220" t="inlineStr">
        <is>
          <t>X</t>
        </is>
      </c>
      <c r="K29" s="220" t="inlineStr">
        <is>
          <t>X</t>
        </is>
      </c>
      <c r="L29" s="220" t="inlineStr">
        <is>
          <t>X</t>
        </is>
      </c>
      <c r="M29" s="220" t="inlineStr">
        <is>
          <t>X</t>
        </is>
      </c>
      <c r="N29" s="220" t="inlineStr">
        <is>
          <t>X</t>
        </is>
      </c>
      <c r="O29" s="220" t="inlineStr">
        <is>
          <t>X</t>
        </is>
      </c>
      <c r="P29" s="220" t="inlineStr">
        <is>
          <t>X</t>
        </is>
      </c>
      <c r="Q29" s="220" t="inlineStr">
        <is>
          <t>X</t>
        </is>
      </c>
      <c r="R29" s="220" t="inlineStr">
        <is>
          <t>X</t>
        </is>
      </c>
      <c r="S29" s="220" t="inlineStr">
        <is>
          <t>X</t>
        </is>
      </c>
      <c r="T29" s="220" t="inlineStr">
        <is>
          <t>X</t>
        </is>
      </c>
      <c r="U29" s="220" t="inlineStr">
        <is>
          <t>X</t>
        </is>
      </c>
      <c r="V29" s="220" t="inlineStr">
        <is>
          <t>X</t>
        </is>
      </c>
      <c r="W29" s="220" t="inlineStr">
        <is>
          <t>X</t>
        </is>
      </c>
      <c r="X29" s="220" t="inlineStr">
        <is>
          <t>X</t>
        </is>
      </c>
      <c r="Y29" s="241" t="n">
        <v>189015.75</v>
      </c>
      <c r="Z29" s="247" t="n">
        <v>0</v>
      </c>
      <c r="AA29" s="247" t="n">
        <v>0.2</v>
      </c>
      <c r="AB29" s="243" t="n">
        <v>37803.15</v>
      </c>
      <c r="AC29" s="243" t="n">
        <v>2453.42</v>
      </c>
      <c r="AD29" s="220" t="n">
        <v>0</v>
      </c>
      <c r="AE29" s="243" t="n">
        <v>2453.42</v>
      </c>
    </row>
    <row r="30">
      <c r="A30" t="inlineStr">
        <is>
          <t>A18</t>
        </is>
      </c>
      <c r="B30" s="233" t="n"/>
      <c r="C30" s="108" t="n">
        <v>18</v>
      </c>
      <c r="D30" s="237" t="n">
        <v>45839</v>
      </c>
      <c r="E30" s="243" t="n">
        <v>0</v>
      </c>
      <c r="F30" s="243" t="n">
        <v>0</v>
      </c>
      <c r="G30" s="243" t="n">
        <v>0</v>
      </c>
      <c r="H30" s="220" t="inlineStr">
        <is>
          <t>X</t>
        </is>
      </c>
      <c r="I30" s="220" t="inlineStr">
        <is>
          <t>X</t>
        </is>
      </c>
      <c r="J30" s="220" t="inlineStr">
        <is>
          <t>X</t>
        </is>
      </c>
      <c r="K30" s="220" t="inlineStr">
        <is>
          <t>X</t>
        </is>
      </c>
      <c r="L30" s="220" t="inlineStr">
        <is>
          <t>X</t>
        </is>
      </c>
      <c r="M30" s="220" t="inlineStr">
        <is>
          <t>X</t>
        </is>
      </c>
      <c r="N30" s="220" t="inlineStr">
        <is>
          <t>X</t>
        </is>
      </c>
      <c r="O30" s="220" t="inlineStr">
        <is>
          <t>X</t>
        </is>
      </c>
      <c r="P30" s="220" t="inlineStr">
        <is>
          <t>X</t>
        </is>
      </c>
      <c r="Q30" s="220" t="inlineStr">
        <is>
          <t>X</t>
        </is>
      </c>
      <c r="R30" s="220" t="inlineStr">
        <is>
          <t>X</t>
        </is>
      </c>
      <c r="S30" s="220" t="inlineStr">
        <is>
          <t>X</t>
        </is>
      </c>
      <c r="T30" s="220" t="inlineStr">
        <is>
          <t>X</t>
        </is>
      </c>
      <c r="U30" s="220" t="inlineStr">
        <is>
          <t>X</t>
        </is>
      </c>
      <c r="V30" s="220" t="inlineStr">
        <is>
          <t>X</t>
        </is>
      </c>
      <c r="W30" s="220" t="inlineStr">
        <is>
          <t>X</t>
        </is>
      </c>
      <c r="X30" s="220" t="inlineStr">
        <is>
          <t>X</t>
        </is>
      </c>
      <c r="Y30" s="241" t="n">
        <v>191192.82</v>
      </c>
      <c r="Z30" s="247" t="n">
        <v>0</v>
      </c>
      <c r="AA30" s="247" t="n">
        <v>0.2</v>
      </c>
      <c r="AB30" s="243" t="n">
        <v>38238.56</v>
      </c>
      <c r="AC30" s="243" t="n">
        <v>3877.39</v>
      </c>
      <c r="AD30" s="220" t="n">
        <v>0</v>
      </c>
      <c r="AE30" s="243" t="n">
        <v>3877.39</v>
      </c>
    </row>
    <row r="31">
      <c r="A31" t="inlineStr">
        <is>
          <t>A19</t>
        </is>
      </c>
      <c r="B31" s="233" t="n"/>
      <c r="C31" s="108" t="n">
        <v>19</v>
      </c>
      <c r="D31" s="237" t="n">
        <v>45931</v>
      </c>
      <c r="E31" s="243" t="n">
        <v>0</v>
      </c>
      <c r="F31" s="243" t="n">
        <v>0</v>
      </c>
      <c r="G31" s="220" t="inlineStr">
        <is>
          <t>X</t>
        </is>
      </c>
      <c r="H31" s="220" t="inlineStr">
        <is>
          <t>X</t>
        </is>
      </c>
      <c r="I31" s="220" t="inlineStr">
        <is>
          <t>X</t>
        </is>
      </c>
      <c r="J31" s="220" t="inlineStr">
        <is>
          <t>X</t>
        </is>
      </c>
      <c r="K31" s="220" t="inlineStr">
        <is>
          <t>X</t>
        </is>
      </c>
      <c r="L31" s="220" t="inlineStr">
        <is>
          <t>X</t>
        </is>
      </c>
      <c r="M31" s="220" t="inlineStr">
        <is>
          <t>X</t>
        </is>
      </c>
      <c r="N31" s="220" t="inlineStr">
        <is>
          <t>X</t>
        </is>
      </c>
      <c r="O31" s="220" t="inlineStr">
        <is>
          <t>X</t>
        </is>
      </c>
      <c r="P31" s="220" t="inlineStr">
        <is>
          <t>X</t>
        </is>
      </c>
      <c r="Q31" s="220" t="inlineStr">
        <is>
          <t>X</t>
        </is>
      </c>
      <c r="R31" s="220" t="inlineStr">
        <is>
          <t>X</t>
        </is>
      </c>
      <c r="S31" s="220" t="inlineStr">
        <is>
          <t>X</t>
        </is>
      </c>
      <c r="T31" s="220" t="inlineStr">
        <is>
          <t>X</t>
        </is>
      </c>
      <c r="U31" s="220" t="inlineStr">
        <is>
          <t>X</t>
        </is>
      </c>
      <c r="V31" s="220" t="inlineStr">
        <is>
          <t>X</t>
        </is>
      </c>
      <c r="W31" s="220" t="inlineStr">
        <is>
          <t>X</t>
        </is>
      </c>
      <c r="X31" s="220" t="inlineStr">
        <is>
          <t>X</t>
        </is>
      </c>
      <c r="Y31" s="241" t="n">
        <v>295090.38</v>
      </c>
      <c r="Z31" s="247" t="n">
        <v>0</v>
      </c>
      <c r="AA31" s="247" t="n">
        <v>0.2</v>
      </c>
      <c r="AB31" s="243" t="n">
        <v>59018.08</v>
      </c>
      <c r="AC31" s="243" t="n">
        <v>8864.52</v>
      </c>
      <c r="AD31" s="220" t="n">
        <v>100</v>
      </c>
      <c r="AE31" s="243" t="n">
        <v>8764.52</v>
      </c>
    </row>
    <row r="32">
      <c r="A32" t="inlineStr">
        <is>
          <t>A20</t>
        </is>
      </c>
      <c r="B32" s="235" t="n"/>
      <c r="C32" s="108" t="n">
        <v>20</v>
      </c>
      <c r="D32" s="237" t="n">
        <v>46023</v>
      </c>
      <c r="E32" s="243" t="n">
        <v>0</v>
      </c>
      <c r="F32" s="220" t="inlineStr">
        <is>
          <t>X</t>
        </is>
      </c>
      <c r="G32" s="220" t="inlineStr">
        <is>
          <t>X</t>
        </is>
      </c>
      <c r="H32" s="220" t="inlineStr">
        <is>
          <t>X</t>
        </is>
      </c>
      <c r="I32" s="220" t="inlineStr">
        <is>
          <t>X</t>
        </is>
      </c>
      <c r="J32" s="220" t="inlineStr">
        <is>
          <t>X</t>
        </is>
      </c>
      <c r="K32" s="220" t="inlineStr">
        <is>
          <t>X</t>
        </is>
      </c>
      <c r="L32" s="220" t="inlineStr">
        <is>
          <t>X</t>
        </is>
      </c>
      <c r="M32" s="220" t="inlineStr">
        <is>
          <t>X</t>
        </is>
      </c>
      <c r="N32" s="220" t="inlineStr">
        <is>
          <t>X</t>
        </is>
      </c>
      <c r="O32" s="220" t="inlineStr">
        <is>
          <t>X</t>
        </is>
      </c>
      <c r="P32" s="220" t="inlineStr">
        <is>
          <t>X</t>
        </is>
      </c>
      <c r="Q32" s="220" t="inlineStr">
        <is>
          <t>X</t>
        </is>
      </c>
      <c r="R32" s="220" t="inlineStr">
        <is>
          <t>X</t>
        </is>
      </c>
      <c r="S32" s="220" t="inlineStr">
        <is>
          <t>X</t>
        </is>
      </c>
      <c r="T32" s="220" t="inlineStr">
        <is>
          <t>X</t>
        </is>
      </c>
      <c r="U32" s="220" t="inlineStr">
        <is>
          <t>X</t>
        </is>
      </c>
      <c r="V32" s="220" t="inlineStr">
        <is>
          <t>X</t>
        </is>
      </c>
      <c r="W32" s="220" t="inlineStr">
        <is>
          <t>X</t>
        </is>
      </c>
      <c r="X32" s="220" t="inlineStr">
        <is>
          <t>X</t>
        </is>
      </c>
      <c r="Y32" s="240" t="n">
        <v>415031.33</v>
      </c>
      <c r="Z32" s="247" t="n">
        <v>0</v>
      </c>
      <c r="AA32" s="247" t="n">
        <v>0.2</v>
      </c>
      <c r="AB32" s="243" t="n">
        <v>83006.27</v>
      </c>
      <c r="AC32" s="243" t="n">
        <v>60743.99</v>
      </c>
      <c r="AD32" s="220" t="n">
        <v>0</v>
      </c>
      <c r="AE32" s="243" t="n">
        <v>60743.99</v>
      </c>
    </row>
    <row r="33" ht="74.40000000000001" customHeight="1" s="132">
      <c r="A33" t="inlineStr">
        <is>
          <t>A21</t>
        </is>
      </c>
      <c r="B33" s="236" t="inlineStr">
        <is>
          <t>Zərərlərin baş verməsi rübləri ərzində baş vermiş və zərərlərin ödənilməsi (inkişafı) rübünün sonunadək ödənilmiş zərərlərin məcmu məbləği</t>
        </is>
      </c>
      <c r="C33" s="232" t="n"/>
      <c r="D33" s="112" t="inlineStr">
        <is>
          <t>(Н+1)</t>
        </is>
      </c>
      <c r="E33" s="245" t="n">
        <v>2176</v>
      </c>
      <c r="F33" s="245" t="n">
        <v>11281.19</v>
      </c>
      <c r="G33" s="245" t="n">
        <v>53781.19</v>
      </c>
      <c r="H33" s="245" t="n">
        <v>53781.19</v>
      </c>
      <c r="I33" s="245" t="n">
        <v>53781.19</v>
      </c>
      <c r="J33" s="245" t="n">
        <v>53781.19</v>
      </c>
      <c r="K33" s="245" t="n">
        <v>53781.19</v>
      </c>
      <c r="L33" s="245" t="n">
        <v>53781.19</v>
      </c>
      <c r="M33" s="245" t="n">
        <v>53781.19</v>
      </c>
      <c r="N33" s="245" t="n">
        <v>53067.19</v>
      </c>
      <c r="O33" s="245" t="n">
        <v>46167.19</v>
      </c>
      <c r="P33" s="245" t="n">
        <v>46167.19</v>
      </c>
      <c r="Q33" s="245" t="n">
        <v>46167.19</v>
      </c>
      <c r="R33" s="245" t="n">
        <v>43896</v>
      </c>
      <c r="S33" s="245" t="n">
        <v>1396</v>
      </c>
      <c r="T33" s="245" t="n">
        <v>1396</v>
      </c>
      <c r="U33" s="245" t="n">
        <v>1396</v>
      </c>
      <c r="V33" s="245" t="n">
        <v>0</v>
      </c>
      <c r="W33" s="245" t="n">
        <v>0</v>
      </c>
      <c r="X33" s="245" t="n">
        <v>0</v>
      </c>
      <c r="Y33" s="111" t="inlineStr">
        <is>
          <t>X</t>
        </is>
      </c>
      <c r="Z33" s="111" t="inlineStr">
        <is>
          <t>X</t>
        </is>
      </c>
      <c r="AA33" s="111" t="inlineStr">
        <is>
          <t>X</t>
        </is>
      </c>
      <c r="AB33" s="111" t="inlineStr">
        <is>
          <t>X</t>
        </is>
      </c>
      <c r="AC33" s="111" t="inlineStr">
        <is>
          <t>X</t>
        </is>
      </c>
      <c r="AD33" s="111" t="inlineStr">
        <is>
          <t>X</t>
        </is>
      </c>
      <c r="AE33" s="111" t="inlineStr">
        <is>
          <t>X</t>
        </is>
      </c>
    </row>
    <row r="34" ht="79.8" customHeight="1" s="132">
      <c r="A34" t="inlineStr">
        <is>
          <t>A22</t>
        </is>
      </c>
      <c r="B34" s="236" t="inlineStr">
        <is>
          <t>Zərərlərin baş verməsi rübləri (axırınçı rüb istisna olmaqla) ərzində baş vermiş və zərərlərin ödənilməsi (inkişafı) rübünün sonunadək ödənilmiş zərərlərin məcmu məbləği</t>
        </is>
      </c>
      <c r="C34" s="232" t="n"/>
      <c r="D34" s="128" t="inlineStr">
        <is>
          <t>(Н+2)</t>
        </is>
      </c>
      <c r="E34" s="243" t="n">
        <v>2176</v>
      </c>
      <c r="F34" s="243" t="n">
        <v>11281.19</v>
      </c>
      <c r="G34" s="243" t="n">
        <v>53781.19</v>
      </c>
      <c r="H34" s="243" t="n">
        <v>53781.19</v>
      </c>
      <c r="I34" s="243" t="n">
        <v>53781.19</v>
      </c>
      <c r="J34" s="243" t="n">
        <v>53781.19</v>
      </c>
      <c r="K34" s="243" t="n">
        <v>53781.19</v>
      </c>
      <c r="L34" s="243" t="n">
        <v>53781.19</v>
      </c>
      <c r="M34" s="243" t="n">
        <v>53067.19</v>
      </c>
      <c r="N34" s="243" t="n">
        <v>46167.19</v>
      </c>
      <c r="O34" s="243" t="n">
        <v>46167.19</v>
      </c>
      <c r="P34" s="243" t="n">
        <v>46167.19</v>
      </c>
      <c r="Q34" s="243" t="n">
        <v>43896</v>
      </c>
      <c r="R34" s="243" t="n">
        <v>1396</v>
      </c>
      <c r="S34" s="243" t="n">
        <v>1396</v>
      </c>
      <c r="T34" s="243" t="n">
        <v>1396</v>
      </c>
      <c r="U34" s="243" t="n">
        <v>0</v>
      </c>
      <c r="V34" s="243" t="n">
        <v>0</v>
      </c>
      <c r="W34" s="243" t="n">
        <v>0</v>
      </c>
      <c r="X34" s="111" t="inlineStr">
        <is>
          <t>X</t>
        </is>
      </c>
      <c r="Y34" s="111" t="inlineStr">
        <is>
          <t>X</t>
        </is>
      </c>
      <c r="Z34" s="111" t="inlineStr">
        <is>
          <t>X</t>
        </is>
      </c>
      <c r="AA34" s="111" t="inlineStr">
        <is>
          <t>X</t>
        </is>
      </c>
      <c r="AB34" s="111" t="inlineStr">
        <is>
          <t>X</t>
        </is>
      </c>
      <c r="AC34" s="111" t="inlineStr">
        <is>
          <t>X</t>
        </is>
      </c>
      <c r="AD34" s="111" t="inlineStr">
        <is>
          <t>X</t>
        </is>
      </c>
      <c r="AE34" s="111" t="inlineStr">
        <is>
          <t>X</t>
        </is>
      </c>
    </row>
    <row r="35" ht="39" customHeight="1" s="132">
      <c r="A35" t="inlineStr">
        <is>
          <t>A23</t>
        </is>
      </c>
      <c r="B35" s="236" t="inlineStr">
        <is>
          <t xml:space="preserve">Zərərlərin inkişafı əmsalları </t>
        </is>
      </c>
      <c r="C35" s="232" t="n"/>
      <c r="D35" s="128" t="inlineStr">
        <is>
          <t>(Н+3)</t>
        </is>
      </c>
      <c r="E35" s="248" t="n">
        <v>3.1683</v>
      </c>
      <c r="F35" s="248" t="n">
        <v>1.0573</v>
      </c>
      <c r="G35" s="248" t="n">
        <v>1.0407</v>
      </c>
      <c r="H35" s="248" t="n">
        <v>1.0334</v>
      </c>
      <c r="I35" s="248" t="n">
        <v>1.0156</v>
      </c>
      <c r="J35" s="248" t="n">
        <v>1.0164</v>
      </c>
      <c r="K35" s="248" t="n">
        <v>1.0025</v>
      </c>
      <c r="L35" s="248" t="n">
        <v>1</v>
      </c>
      <c r="M35" s="248" t="n">
        <v>1</v>
      </c>
      <c r="N35" s="248" t="n">
        <v>1</v>
      </c>
      <c r="O35" s="248" t="n">
        <v>1</v>
      </c>
      <c r="P35" s="248" t="n">
        <v>1</v>
      </c>
      <c r="Q35" s="248" t="n">
        <v>1</v>
      </c>
      <c r="R35" s="248" t="n">
        <v>1</v>
      </c>
      <c r="S35" s="248" t="n">
        <v>1</v>
      </c>
      <c r="T35" s="248" t="n">
        <v>1</v>
      </c>
      <c r="U35" s="248" t="n">
        <v>1</v>
      </c>
      <c r="V35" s="248" t="n">
        <v>1</v>
      </c>
      <c r="W35" s="248" t="n">
        <v>1</v>
      </c>
      <c r="X35" s="111" t="n">
        <v>1</v>
      </c>
      <c r="Y35" s="111" t="inlineStr">
        <is>
          <t>X</t>
        </is>
      </c>
      <c r="Z35" s="111" t="inlineStr">
        <is>
          <t>X</t>
        </is>
      </c>
      <c r="AA35" s="111" t="inlineStr">
        <is>
          <t>X</t>
        </is>
      </c>
      <c r="AB35" s="111" t="inlineStr">
        <is>
          <t>X</t>
        </is>
      </c>
      <c r="AC35" s="111" t="inlineStr">
        <is>
          <t>X</t>
        </is>
      </c>
      <c r="AD35" s="111" t="inlineStr">
        <is>
          <t>X</t>
        </is>
      </c>
      <c r="AE35" s="111" t="inlineStr">
        <is>
          <t>X</t>
        </is>
      </c>
    </row>
    <row r="36" ht="40.5" customHeight="1" s="132">
      <c r="A36" t="inlineStr">
        <is>
          <t>A24</t>
        </is>
      </c>
      <c r="B36" s="236" t="inlineStr">
        <is>
          <t xml:space="preserve">Zərərlərin inkişafı amilləri </t>
        </is>
      </c>
      <c r="C36" s="232" t="n"/>
      <c r="D36" s="128" t="inlineStr">
        <is>
          <t>(Н+4)</t>
        </is>
      </c>
      <c r="E36" s="248" t="n">
        <v>3.7281</v>
      </c>
      <c r="F36" s="248" t="n">
        <v>1.1767</v>
      </c>
      <c r="G36" s="248" t="n">
        <v>1.1129</v>
      </c>
      <c r="H36" s="248" t="n">
        <v>1.0694</v>
      </c>
      <c r="I36" s="248" t="n">
        <v>1.0348</v>
      </c>
      <c r="J36" s="248" t="n">
        <v>1.0189</v>
      </c>
      <c r="K36" s="248" t="n">
        <v>1.0025</v>
      </c>
      <c r="L36" s="248" t="n">
        <v>1</v>
      </c>
      <c r="M36" s="248" t="n">
        <v>1</v>
      </c>
      <c r="N36" s="248" t="n">
        <v>1</v>
      </c>
      <c r="O36" s="248" t="n">
        <v>1</v>
      </c>
      <c r="P36" s="248" t="n">
        <v>1</v>
      </c>
      <c r="Q36" s="248" t="n">
        <v>1</v>
      </c>
      <c r="R36" s="248" t="n">
        <v>1</v>
      </c>
      <c r="S36" s="248" t="n">
        <v>1</v>
      </c>
      <c r="T36" s="248" t="n">
        <v>1</v>
      </c>
      <c r="U36" s="248" t="n">
        <v>1</v>
      </c>
      <c r="V36" s="248" t="n">
        <v>1</v>
      </c>
      <c r="W36" s="248" t="n">
        <v>1</v>
      </c>
      <c r="X36" s="111" t="n">
        <v>1</v>
      </c>
      <c r="Y36" s="111" t="inlineStr">
        <is>
          <t>X</t>
        </is>
      </c>
      <c r="Z36" s="111" t="inlineStr">
        <is>
          <t>X</t>
        </is>
      </c>
      <c r="AA36" s="111" t="inlineStr">
        <is>
          <t>X</t>
        </is>
      </c>
      <c r="AB36" s="111" t="inlineStr">
        <is>
          <t>X</t>
        </is>
      </c>
      <c r="AC36" s="111" t="inlineStr">
        <is>
          <t>X</t>
        </is>
      </c>
      <c r="AD36" s="111" t="inlineStr">
        <is>
          <t>X</t>
        </is>
      </c>
      <c r="AE36" s="111" t="inlineStr">
        <is>
          <t>X</t>
        </is>
      </c>
    </row>
    <row r="37" ht="27.75" customHeight="1" s="132">
      <c r="A37" t="inlineStr">
        <is>
          <t>A25</t>
        </is>
      </c>
      <c r="B37" s="236" t="inlineStr">
        <is>
          <t>Geçikmə amilləri</t>
        </is>
      </c>
      <c r="C37" s="232" t="n"/>
      <c r="D37" s="128" t="inlineStr">
        <is>
          <t>(Н+5)</t>
        </is>
      </c>
      <c r="E37" s="248" t="n">
        <v>0.2682</v>
      </c>
      <c r="F37" s="248" t="n">
        <v>0.8498</v>
      </c>
      <c r="G37" s="248" t="n">
        <v>0.8986</v>
      </c>
      <c r="H37" s="248" t="n">
        <v>0.9351</v>
      </c>
      <c r="I37" s="248" t="n">
        <v>0.9664</v>
      </c>
      <c r="J37" s="248" t="n">
        <v>0.9815</v>
      </c>
      <c r="K37" s="248" t="n">
        <v>0.9975000000000001</v>
      </c>
      <c r="L37" s="248" t="n">
        <v>1</v>
      </c>
      <c r="M37" s="248" t="n">
        <v>1</v>
      </c>
      <c r="N37" s="248" t="n">
        <v>1</v>
      </c>
      <c r="O37" s="248" t="n">
        <v>1</v>
      </c>
      <c r="P37" s="248" t="n">
        <v>1</v>
      </c>
      <c r="Q37" s="248" t="n">
        <v>1</v>
      </c>
      <c r="R37" s="248" t="n">
        <v>1</v>
      </c>
      <c r="S37" s="248" t="n">
        <v>1</v>
      </c>
      <c r="T37" s="248" t="n">
        <v>1</v>
      </c>
      <c r="U37" s="248" t="n">
        <v>1</v>
      </c>
      <c r="V37" s="248" t="n">
        <v>1</v>
      </c>
      <c r="W37" s="248" t="n">
        <v>1</v>
      </c>
      <c r="X37" s="111" t="n">
        <v>1</v>
      </c>
      <c r="Y37" s="111" t="inlineStr">
        <is>
          <t>X</t>
        </is>
      </c>
      <c r="Z37" s="111" t="inlineStr">
        <is>
          <t>X</t>
        </is>
      </c>
      <c r="AA37" s="111" t="inlineStr">
        <is>
          <t>X</t>
        </is>
      </c>
      <c r="AB37" s="111" t="inlineStr">
        <is>
          <t>X</t>
        </is>
      </c>
      <c r="AC37" s="111" t="inlineStr">
        <is>
          <t>X</t>
        </is>
      </c>
      <c r="AD37" s="111" t="inlineStr">
        <is>
          <t>X</t>
        </is>
      </c>
      <c r="AE37" s="111" t="inlineStr">
        <is>
          <t>X</t>
        </is>
      </c>
    </row>
    <row r="38" ht="43.5" customHeight="1" s="132">
      <c r="A38" t="inlineStr">
        <is>
          <t>A26</t>
        </is>
      </c>
      <c r="B38" s="236" t="inlineStr">
        <is>
          <t>Baş vermiş, lakin bildirilməmiş zərərlərin məbləği</t>
        </is>
      </c>
      <c r="C38" s="232" t="n"/>
      <c r="D38" s="128" t="inlineStr">
        <is>
          <t>(Н+6)</t>
        </is>
      </c>
      <c r="E38" s="111" t="inlineStr">
        <is>
          <t>X</t>
        </is>
      </c>
      <c r="F38" s="111" t="inlineStr">
        <is>
          <t>X</t>
        </is>
      </c>
      <c r="G38" s="111" t="inlineStr">
        <is>
          <t>X</t>
        </is>
      </c>
      <c r="H38" s="111" t="inlineStr">
        <is>
          <t>X</t>
        </is>
      </c>
      <c r="I38" s="111" t="inlineStr">
        <is>
          <t>X</t>
        </is>
      </c>
      <c r="J38" s="111" t="inlineStr">
        <is>
          <t>X</t>
        </is>
      </c>
      <c r="K38" s="111" t="inlineStr">
        <is>
          <t>X</t>
        </is>
      </c>
      <c r="L38" s="111" t="inlineStr">
        <is>
          <t>X</t>
        </is>
      </c>
      <c r="M38" s="111" t="inlineStr">
        <is>
          <t>X</t>
        </is>
      </c>
      <c r="N38" s="111" t="inlineStr">
        <is>
          <t>X</t>
        </is>
      </c>
      <c r="O38" s="111" t="inlineStr">
        <is>
          <t>X</t>
        </is>
      </c>
      <c r="P38" s="111" t="inlineStr">
        <is>
          <t>X</t>
        </is>
      </c>
      <c r="Q38" s="111" t="inlineStr">
        <is>
          <t>X</t>
        </is>
      </c>
      <c r="R38" s="111" t="inlineStr">
        <is>
          <t>X</t>
        </is>
      </c>
      <c r="S38" s="111" t="inlineStr">
        <is>
          <t>X</t>
        </is>
      </c>
      <c r="T38" s="111" t="inlineStr">
        <is>
          <t>X</t>
        </is>
      </c>
      <c r="U38" s="111" t="inlineStr">
        <is>
          <t>X</t>
        </is>
      </c>
      <c r="V38" s="111" t="inlineStr">
        <is>
          <t>X</t>
        </is>
      </c>
      <c r="W38" s="111" t="inlineStr">
        <is>
          <t>X</t>
        </is>
      </c>
      <c r="X38" s="111" t="inlineStr">
        <is>
          <t>X</t>
        </is>
      </c>
      <c r="Y38" s="111" t="inlineStr">
        <is>
          <t>X</t>
        </is>
      </c>
      <c r="Z38" s="111" t="inlineStr">
        <is>
          <t>X</t>
        </is>
      </c>
      <c r="AA38" s="111" t="inlineStr">
        <is>
          <t>X</t>
        </is>
      </c>
      <c r="AB38" s="111" t="inlineStr">
        <is>
          <t>X</t>
        </is>
      </c>
      <c r="AC38" s="111" t="inlineStr">
        <is>
          <t>X</t>
        </is>
      </c>
      <c r="AD38" s="111" t="inlineStr">
        <is>
          <t>X</t>
        </is>
      </c>
      <c r="AE38" s="245" t="n">
        <v>77946.72</v>
      </c>
    </row>
    <row r="39" ht="42.75" customHeight="1" s="132">
      <c r="A39" t="inlineStr">
        <is>
          <t>A27</t>
        </is>
      </c>
      <c r="B39" s="236" t="inlineStr">
        <is>
          <t>Üçbucaq metodu ilə hesblanmış BVBZE</t>
        </is>
      </c>
      <c r="C39" s="232" t="n"/>
      <c r="D39" s="128" t="inlineStr">
        <is>
          <t>(Н+7)</t>
        </is>
      </c>
      <c r="E39" s="111" t="inlineStr">
        <is>
          <t>X</t>
        </is>
      </c>
      <c r="F39" s="111" t="inlineStr">
        <is>
          <t>X</t>
        </is>
      </c>
      <c r="G39" s="111" t="inlineStr">
        <is>
          <t>X</t>
        </is>
      </c>
      <c r="H39" s="111" t="inlineStr">
        <is>
          <t>X</t>
        </is>
      </c>
      <c r="I39" s="111" t="inlineStr">
        <is>
          <t>X</t>
        </is>
      </c>
      <c r="J39" s="111" t="inlineStr">
        <is>
          <t>X</t>
        </is>
      </c>
      <c r="K39" s="111" t="inlineStr">
        <is>
          <t>X</t>
        </is>
      </c>
      <c r="L39" s="111" t="inlineStr">
        <is>
          <t>X</t>
        </is>
      </c>
      <c r="M39" s="111" t="inlineStr">
        <is>
          <t>X</t>
        </is>
      </c>
      <c r="N39" s="111" t="inlineStr">
        <is>
          <t>X</t>
        </is>
      </c>
      <c r="O39" s="111" t="inlineStr">
        <is>
          <t>X</t>
        </is>
      </c>
      <c r="P39" s="111" t="inlineStr">
        <is>
          <t>X</t>
        </is>
      </c>
      <c r="Q39" s="111" t="inlineStr">
        <is>
          <t>X</t>
        </is>
      </c>
      <c r="R39" s="111" t="inlineStr">
        <is>
          <t>X</t>
        </is>
      </c>
      <c r="S39" s="111" t="inlineStr">
        <is>
          <t>X</t>
        </is>
      </c>
      <c r="T39" s="111" t="inlineStr">
        <is>
          <t>X</t>
        </is>
      </c>
      <c r="U39" s="111" t="inlineStr">
        <is>
          <t>X</t>
        </is>
      </c>
      <c r="V39" s="111" t="inlineStr">
        <is>
          <t>X</t>
        </is>
      </c>
      <c r="W39" s="111" t="inlineStr">
        <is>
          <t>X</t>
        </is>
      </c>
      <c r="X39" s="111" t="inlineStr">
        <is>
          <t>X</t>
        </is>
      </c>
      <c r="Y39" s="111" t="inlineStr">
        <is>
          <t>X</t>
        </is>
      </c>
      <c r="Z39" s="111" t="inlineStr">
        <is>
          <t>X</t>
        </is>
      </c>
      <c r="AA39" s="111" t="inlineStr">
        <is>
          <t>X</t>
        </is>
      </c>
      <c r="AB39" s="111" t="inlineStr">
        <is>
          <t>X</t>
        </is>
      </c>
      <c r="AC39" s="111" t="inlineStr">
        <is>
          <t>X</t>
        </is>
      </c>
      <c r="AD39" s="111" t="inlineStr">
        <is>
          <t>X</t>
        </is>
      </c>
      <c r="AE39" s="245" t="n">
        <v>80285.12</v>
      </c>
    </row>
    <row r="40" ht="34.5" customHeight="1" s="132">
      <c r="B40" s="114" t="inlineStr">
        <is>
          <t>QEYD: 1. x(i,j) məbləğləri "Zərərlərin uçotu" jurnalına əsasən hesablanır. 2. Kodu N+6 olan sətir üzrə (N+9)-cu sütunda baş vermiş, lakin bildirilməmiş zərərlərin məcmu məbləği göstərilir. 3. Kodu N+7 olan sətir üzrə (N+9)-cu sütunda baş vermiş, lakin bildirilməmiş zərərlərin məcmu məbləğinin 1,03-ə vurulmasından alınan məbləğ göstərilir.</t>
        </is>
      </c>
      <c r="C40" s="120" t="n"/>
      <c r="D40" s="129" t="n"/>
      <c r="E40" s="120" t="n"/>
      <c r="F40" s="181" t="n"/>
      <c r="G40" s="181" t="n"/>
      <c r="H40" s="181" t="n"/>
      <c r="I40" s="181" t="n"/>
      <c r="J40" s="181" t="n"/>
      <c r="K40" s="181" t="n"/>
      <c r="L40" s="181" t="n"/>
      <c r="M40" s="181" t="n"/>
      <c r="N40" s="181" t="n"/>
      <c r="O40" s="181" t="n"/>
      <c r="P40" s="181" t="n"/>
      <c r="Q40" s="181" t="n"/>
      <c r="R40" s="181" t="n"/>
      <c r="S40" s="181" t="n"/>
      <c r="T40" s="181" t="n"/>
      <c r="U40" s="181" t="n"/>
      <c r="V40" s="181" t="n"/>
      <c r="W40" s="181" t="n"/>
      <c r="X40" s="181" t="n"/>
      <c r="Y40" s="181" t="n"/>
      <c r="Z40" s="181" t="n"/>
      <c r="AA40" s="181" t="n"/>
      <c r="AB40" s="181" t="n"/>
      <c r="AC40" s="181" t="n"/>
      <c r="AD40" s="181" t="n"/>
      <c r="AE40" s="181" t="n"/>
    </row>
    <row r="41" ht="23.25" customHeight="1" s="132">
      <c r="B41" s="116" t="inlineStr">
        <is>
          <t xml:space="preserve">          İdarə heyətinin sədri ______________           Baş mühasib _________________     M.Y.</t>
        </is>
      </c>
      <c r="C41" s="117" t="n"/>
      <c r="D41" s="122" t="n"/>
      <c r="E41" s="98" t="n"/>
      <c r="F41" s="118" t="n"/>
      <c r="G41" s="118" t="n"/>
      <c r="H41" s="118" t="n"/>
      <c r="I41" s="118" t="n"/>
      <c r="J41" s="118" t="n"/>
      <c r="K41" s="118" t="n"/>
      <c r="L41" s="118" t="n"/>
      <c r="M41" s="118" t="n"/>
      <c r="N41" s="118" t="n"/>
      <c r="O41" s="118" t="n"/>
      <c r="P41" s="118" t="n"/>
      <c r="Q41" s="118" t="n"/>
      <c r="R41" s="118" t="n"/>
      <c r="S41" s="118" t="n"/>
      <c r="T41" s="118" t="n"/>
      <c r="U41" s="118" t="n"/>
      <c r="V41" s="98" t="n"/>
      <c r="W41" s="119" t="n"/>
      <c r="X41" s="119" t="n"/>
      <c r="Y41" s="119" t="n"/>
      <c r="Z41" s="119" t="n"/>
      <c r="AA41" s="119" t="n"/>
      <c r="AB41" s="119" t="n"/>
      <c r="AC41" s="119" t="n"/>
      <c r="AD41" s="119" t="n"/>
      <c r="AE41" s="119" t="n"/>
    </row>
    <row r="42">
      <c r="B42" s="130" t="n"/>
      <c r="C42" s="130" t="n"/>
      <c r="D42" s="130" t="n"/>
      <c r="E42" s="130" t="n"/>
      <c r="F42" s="130" t="n"/>
      <c r="G42" s="130" t="n"/>
      <c r="H42" s="130" t="n"/>
      <c r="I42" s="130" t="n"/>
      <c r="J42" s="130" t="n"/>
      <c r="K42" s="130" t="n"/>
      <c r="L42" s="130" t="n"/>
      <c r="M42" s="130" t="n"/>
      <c r="N42" s="130" t="n"/>
      <c r="O42" s="130" t="n"/>
      <c r="P42" s="130" t="n"/>
      <c r="Q42" s="130" t="n"/>
      <c r="R42" s="130" t="n"/>
      <c r="S42" s="130" t="n"/>
      <c r="T42" s="130" t="n"/>
      <c r="U42" s="130" t="n"/>
      <c r="V42" s="130" t="n"/>
      <c r="W42" s="130" t="n"/>
      <c r="X42" s="130" t="n"/>
      <c r="Y42" s="130" t="n"/>
      <c r="Z42" s="130" t="n"/>
      <c r="AA42" s="130" t="n"/>
      <c r="AB42" s="130" t="n"/>
      <c r="AC42" s="130" t="n"/>
      <c r="AD42" s="130" t="n"/>
      <c r="AE42" s="130" t="n"/>
    </row>
    <row r="43">
      <c r="B43" s="130" t="n"/>
      <c r="C43" s="130" t="n"/>
      <c r="D43" s="130" t="n"/>
      <c r="E43" s="130" t="n"/>
      <c r="F43" s="130" t="n"/>
      <c r="G43" s="130" t="n"/>
      <c r="H43" s="130" t="n"/>
      <c r="I43" s="130" t="n"/>
      <c r="J43" s="130" t="n"/>
      <c r="K43" s="130" t="n"/>
      <c r="L43" s="130" t="n"/>
      <c r="M43" s="130" t="n"/>
      <c r="N43" s="130" t="n"/>
      <c r="O43" s="130" t="n"/>
      <c r="P43" s="130" t="n"/>
      <c r="Q43" s="130" t="n"/>
      <c r="R43" s="130" t="n"/>
      <c r="S43" s="130" t="n"/>
      <c r="T43" s="130" t="n"/>
      <c r="U43" s="130" t="n"/>
      <c r="V43" s="130" t="n"/>
      <c r="W43" s="130" t="n"/>
      <c r="X43" s="130" t="n"/>
      <c r="Y43" s="130" t="n"/>
      <c r="Z43" s="130" t="n"/>
      <c r="AA43" s="130" t="n"/>
      <c r="AB43" s="130" t="n"/>
      <c r="AC43" s="130" t="n"/>
      <c r="AD43" s="130" t="n"/>
      <c r="AE43" s="130" t="n"/>
    </row>
    <row r="44">
      <c r="B44" s="130" t="n"/>
      <c r="C44" s="130" t="n"/>
      <c r="D44" s="130" t="n"/>
      <c r="E44" s="130" t="n"/>
      <c r="F44" s="130" t="n"/>
      <c r="G44" s="130" t="n"/>
      <c r="H44" s="130" t="n"/>
      <c r="I44" s="130" t="n"/>
      <c r="J44" s="130" t="n"/>
      <c r="K44" s="130" t="n"/>
      <c r="L44" s="130" t="n"/>
      <c r="M44" s="130" t="n"/>
      <c r="N44" s="130" t="n"/>
      <c r="O44" s="130" t="n"/>
      <c r="P44" s="130" t="n"/>
      <c r="Q44" s="130" t="n"/>
      <c r="R44" s="130" t="n"/>
      <c r="S44" s="130" t="n"/>
      <c r="T44" s="130" t="n"/>
      <c r="U44" s="130" t="n"/>
      <c r="V44" s="130" t="n"/>
      <c r="W44" s="130" t="n"/>
      <c r="X44" s="130" t="n"/>
      <c r="Y44" s="130" t="n"/>
      <c r="Z44" s="130" t="n"/>
      <c r="AA44" s="130" t="n"/>
      <c r="AB44" s="130" t="n"/>
      <c r="AC44" s="130" t="n"/>
      <c r="AD44" s="130" t="n"/>
      <c r="AE44" s="130" t="n"/>
    </row>
  </sheetData>
  <mergeCells count="24">
    <mergeCell ref="AD10:AD11"/>
    <mergeCell ref="B10:C11"/>
    <mergeCell ref="B12:C12"/>
    <mergeCell ref="Y10:Y11"/>
    <mergeCell ref="B39:C39"/>
    <mergeCell ref="B13:B32"/>
    <mergeCell ref="B2:C2"/>
    <mergeCell ref="AC10:AC11"/>
    <mergeCell ref="E1:U1"/>
    <mergeCell ref="E10:X10"/>
    <mergeCell ref="AE10:AE11"/>
    <mergeCell ref="Z10:Z11"/>
    <mergeCell ref="B38:C38"/>
    <mergeCell ref="B34:C34"/>
    <mergeCell ref="B37:C37"/>
    <mergeCell ref="B5:AE5"/>
    <mergeCell ref="AB1:AE1"/>
    <mergeCell ref="AB10:AB11"/>
    <mergeCell ref="D10:D11"/>
    <mergeCell ref="B33:C33"/>
    <mergeCell ref="B3:AE3"/>
    <mergeCell ref="B36:C36"/>
    <mergeCell ref="B35:C35"/>
    <mergeCell ref="AA10:AA11"/>
  </mergeCells>
  <pageMargins left="0.7" right="0.7" top="0.75" bottom="0.75" header="0.3" footer="0.3"/>
  <pageSetup orientation="portrait"/>
</worksheet>
</file>

<file path=xl/worksheets/sheet11.xml><?xml version="1.0" encoding="utf-8"?>
<worksheet xmlns="http://schemas.openxmlformats.org/spreadsheetml/2006/main">
  <sheetPr>
    <outlinePr summaryBelow="1" summaryRight="1"/>
    <pageSetUpPr/>
  </sheetPr>
  <dimension ref="A1:AE44"/>
  <sheetViews>
    <sheetView zoomScale="64" workbookViewId="0">
      <selection activeCell="E7" sqref="E7"/>
    </sheetView>
  </sheetViews>
  <sheetFormatPr baseColWidth="8" defaultRowHeight="14.4"/>
  <cols>
    <col width="8.88671875" customWidth="1" style="132" min="1" max="1"/>
    <col width="23.5546875" customWidth="1" style="132" min="2" max="2"/>
    <col width="8.88671875" customWidth="1" style="132" min="3" max="3"/>
    <col width="12.109375" bestFit="1" customWidth="1" style="132" min="4" max="4"/>
    <col width="10.77734375" customWidth="1" style="132" min="5" max="6"/>
    <col width="13.109375" bestFit="1" customWidth="1" style="132" min="7" max="7"/>
    <col width="10.77734375" customWidth="1" style="132" min="8" max="24"/>
    <col width="11.77734375" customWidth="1" style="132" min="25" max="31"/>
    <col width="10.44140625" customWidth="1" style="132" min="32" max="32"/>
    <col width="8.88671875" customWidth="1" style="132" min="33" max="16384"/>
  </cols>
  <sheetData>
    <row r="1" ht="41.25" customHeight="1" s="132">
      <c r="B1" s="27" t="n"/>
      <c r="C1" s="27" t="n"/>
      <c r="D1" s="122" t="n"/>
      <c r="E1" s="200" t="n"/>
      <c r="V1" s="98" t="n"/>
      <c r="W1" s="98" t="n"/>
      <c r="X1" s="98" t="n"/>
      <c r="Y1" s="98" t="n"/>
      <c r="Z1" s="98" t="n"/>
      <c r="AA1" s="98" t="n"/>
      <c r="AB1" s="174" t="inlineStr">
        <is>
          <t>«Həyat sığortası və qeyri-həyat sığortası
üzrə sığorta ehtiyatlarının formalaşdırılması
Qaydaları»na Əlavə № 3</t>
        </is>
      </c>
    </row>
    <row r="2" ht="18" customHeight="1" s="132">
      <c r="B2" s="201" t="inlineStr">
        <is>
          <t>Forma № 8-12</t>
        </is>
      </c>
      <c r="D2" s="122" t="n"/>
      <c r="E2" s="200" t="n"/>
      <c r="F2" s="200" t="n"/>
      <c r="G2" s="200" t="n"/>
      <c r="H2" s="200" t="n"/>
      <c r="I2" s="200" t="n"/>
      <c r="J2" s="200" t="n"/>
      <c r="K2" s="200" t="n"/>
      <c r="L2" s="200" t="n"/>
      <c r="M2" s="200" t="n"/>
      <c r="N2" s="200" t="n"/>
      <c r="O2" s="200" t="n"/>
      <c r="P2" s="200" t="n"/>
      <c r="Q2" s="200" t="n"/>
      <c r="R2" s="200" t="n"/>
      <c r="S2" s="200" t="n"/>
      <c r="T2" s="200" t="n"/>
      <c r="U2" s="200" t="n"/>
      <c r="V2" s="98" t="n"/>
      <c r="W2" s="98" t="n"/>
      <c r="X2" s="98" t="n"/>
      <c r="Y2" s="98" t="n"/>
      <c r="Z2" s="98" t="n"/>
      <c r="AA2" s="98" t="n"/>
      <c r="AB2" s="99" t="n"/>
      <c r="AC2" s="99" t="n"/>
      <c r="AD2" s="130" t="n"/>
      <c r="AE2" s="130" t="n"/>
    </row>
    <row r="3" ht="18" customHeight="1" s="132">
      <c r="B3" s="189" t="inlineStr">
        <is>
          <t>Üçbucaq metodu ilə hesablanmış baş vermiş, lakin bildirilməmiş zərərlər ehtiyatında təkrarsığortaçıların payı</t>
        </is>
      </c>
    </row>
    <row r="4" ht="17.4" customHeight="1" s="132">
      <c r="C4" s="101" t="n"/>
      <c r="D4" s="123" t="n"/>
      <c r="E4" s="101" t="n"/>
      <c r="F4" s="101" t="n"/>
      <c r="G4" s="176" t="n">
        <v>0</v>
      </c>
      <c r="H4" s="101" t="n"/>
      <c r="I4" s="101" t="n"/>
      <c r="J4" s="101" t="n"/>
      <c r="K4" s="101" t="n"/>
      <c r="L4" s="101" t="n"/>
      <c r="M4" s="101" t="n"/>
      <c r="N4" s="101" t="n"/>
      <c r="O4" s="101" t="n"/>
      <c r="P4" s="101" t="n"/>
      <c r="Q4" s="101" t="n"/>
      <c r="R4" s="101" t="n"/>
      <c r="S4" s="101" t="n"/>
      <c r="T4" s="101" t="n"/>
      <c r="U4" s="101" t="n"/>
      <c r="V4" s="101" t="n"/>
      <c r="W4" s="101" t="n"/>
      <c r="X4" s="101" t="n"/>
      <c r="Y4" s="101" t="n"/>
      <c r="Z4" s="101" t="n"/>
      <c r="AA4" s="101" t="n"/>
      <c r="AB4" s="101" t="n"/>
      <c r="AC4" s="101" t="n"/>
      <c r="AD4" s="101" t="n"/>
      <c r="AE4" s="101" t="n"/>
    </row>
    <row r="5" s="132">
      <c r="B5" s="202" t="inlineStr">
        <is>
          <t xml:space="preserve">    (sığortaçının (təkrarsığortaçının)  adı)</t>
        </is>
      </c>
    </row>
    <row r="6" ht="17.4" customHeight="1" s="132">
      <c r="B6" s="102" t="n"/>
      <c r="C6" s="102" t="n"/>
      <c r="D6" s="12" t="inlineStr">
        <is>
          <t>01.01.2026</t>
        </is>
      </c>
      <c r="E6" s="11" t="inlineStr">
        <is>
          <t xml:space="preserve"> -cı il  tarixə</t>
        </is>
      </c>
      <c r="F6" s="102" t="n"/>
      <c r="I6" s="102" t="n"/>
      <c r="J6" s="102" t="n"/>
      <c r="K6" s="102" t="n"/>
      <c r="L6" s="102" t="n"/>
      <c r="M6" s="102" t="n"/>
      <c r="N6" s="102" t="n"/>
      <c r="O6" s="102" t="n"/>
      <c r="P6" s="102" t="n"/>
      <c r="Q6" s="102" t="n"/>
      <c r="R6" s="102" t="n"/>
      <c r="S6" s="102" t="n"/>
      <c r="T6" s="102" t="n"/>
      <c r="U6" s="102" t="n"/>
      <c r="V6" s="102" t="n"/>
      <c r="W6" s="102" t="n"/>
      <c r="X6" s="102" t="n"/>
      <c r="Y6" s="102" t="n"/>
      <c r="Z6" s="102" t="n"/>
      <c r="AA6" s="102" t="n"/>
      <c r="AB6" s="102" t="n"/>
      <c r="AC6" s="102" t="n"/>
      <c r="AD6" s="102" t="n"/>
      <c r="AE6" s="102" t="n"/>
    </row>
    <row r="8" ht="18" customHeight="1" s="132">
      <c r="B8" s="171" t="inlineStr">
        <is>
          <t>Sığortanın sinifi ____________________________</t>
        </is>
      </c>
      <c r="C8" s="219" t="inlineStr">
        <is>
          <t>(21)UmumiMulkiMesuliyy</t>
        </is>
      </c>
      <c r="E8" s="15" t="n"/>
      <c r="F8" s="105" t="n"/>
      <c r="G8" s="105" t="n"/>
      <c r="H8" s="105" t="n"/>
      <c r="I8" s="105" t="n"/>
      <c r="J8" s="105" t="n"/>
      <c r="K8" s="105" t="n"/>
      <c r="L8" s="105" t="n"/>
      <c r="M8" s="105" t="n"/>
      <c r="N8" s="105" t="n"/>
      <c r="O8" s="105" t="n"/>
      <c r="P8" s="105" t="n"/>
      <c r="Q8" s="105" t="n"/>
      <c r="R8" s="105" t="n"/>
      <c r="S8" s="105" t="n"/>
      <c r="T8" s="105" t="n"/>
      <c r="U8" s="105" t="n"/>
      <c r="V8" s="105" t="n"/>
      <c r="W8" s="105" t="n"/>
      <c r="X8" s="105" t="n"/>
      <c r="Y8" s="105" t="n"/>
      <c r="Z8" s="105" t="n"/>
      <c r="AA8" s="105" t="n"/>
      <c r="AB8" s="105" t="n"/>
      <c r="AC8" s="105" t="n"/>
      <c r="AD8" s="105" t="n"/>
      <c r="AE8" s="105" t="n"/>
    </row>
    <row r="9" ht="18" customHeight="1" s="132">
      <c r="B9" s="171" t="n"/>
      <c r="C9" s="105" t="n"/>
      <c r="D9" s="125" t="n"/>
      <c r="E9" s="15" t="n"/>
      <c r="F9" s="105" t="n"/>
      <c r="G9" s="105" t="n"/>
      <c r="H9" s="105" t="n"/>
      <c r="I9" s="105" t="n"/>
      <c r="J9" s="105" t="n"/>
      <c r="K9" s="105" t="n"/>
      <c r="L9" s="105" t="n"/>
      <c r="M9" s="105" t="n"/>
      <c r="N9" s="105" t="n"/>
      <c r="O9" s="105" t="n"/>
      <c r="P9" s="105" t="n"/>
      <c r="Q9" s="105" t="n"/>
      <c r="R9" s="105" t="n"/>
      <c r="S9" s="105" t="n"/>
      <c r="T9" s="105" t="n"/>
      <c r="U9" s="105" t="n"/>
      <c r="V9" s="105" t="n"/>
      <c r="W9" s="105" t="n"/>
      <c r="X9" s="105" t="n"/>
      <c r="Y9" s="105" t="n"/>
      <c r="Z9" s="105" t="n"/>
      <c r="AA9" s="105" t="n"/>
      <c r="AB9" s="105" t="n"/>
      <c r="AC9" s="105" t="n"/>
      <c r="AD9" s="105" t="n"/>
      <c r="AE9" s="105" t="n"/>
    </row>
    <row r="10" ht="12.75" customHeight="1" s="132">
      <c r="B10" s="242" t="n">
        <v>0</v>
      </c>
      <c r="C10" s="226" t="n"/>
      <c r="D10" s="212" t="inlineStr">
        <is>
          <t>Sətrin kodu</t>
        </is>
      </c>
      <c r="E10" s="208" t="inlineStr">
        <is>
          <t>Zərərlərin ödənilməsi (inkişafı) rübləri</t>
        </is>
      </c>
      <c r="F10" s="227" t="n"/>
      <c r="G10" s="227" t="n"/>
      <c r="H10" s="227" t="n"/>
      <c r="I10" s="227" t="n"/>
      <c r="J10" s="227" t="n"/>
      <c r="K10" s="227" t="n"/>
      <c r="L10" s="227" t="n"/>
      <c r="M10" s="227" t="n"/>
      <c r="N10" s="227" t="n"/>
      <c r="O10" s="227" t="n"/>
      <c r="P10" s="227" t="n"/>
      <c r="Q10" s="227" t="n"/>
      <c r="R10" s="227" t="n"/>
      <c r="S10" s="227" t="n"/>
      <c r="T10" s="227" t="n"/>
      <c r="U10" s="227" t="n"/>
      <c r="V10" s="227" t="n"/>
      <c r="W10" s="227" t="n"/>
      <c r="X10" s="228" t="n"/>
      <c r="Y10" s="207" t="inlineStr">
        <is>
          <t>Qazanılmış məcmu təkrarsığorta haqları</t>
        </is>
      </c>
      <c r="Z10" s="207" t="inlineStr">
        <is>
          <t>Ödənilmiş zərərlər əmsalı</t>
        </is>
      </c>
      <c r="AA10" s="207" t="inlineStr">
        <is>
          <t>Baş vermiş zərərlərin gözlənilən əmsalı</t>
        </is>
      </c>
      <c r="AB10" s="207" t="inlineStr">
        <is>
          <t>Baş vermiş zərərlərin gözlənilən məbləği</t>
        </is>
      </c>
      <c r="AC10" s="207" t="inlineStr">
        <is>
          <t>Baş vermiş, lakin ödənilmə-miş zərərlərin məcmu məbləği</t>
        </is>
      </c>
      <c r="AD10" s="207" t="inlineStr">
        <is>
          <t>Bildirilmiş, lakin tənzim-lənməmiş zərərlərin məbləği</t>
        </is>
      </c>
      <c r="AE10" s="207" t="inlineStr">
        <is>
          <t>Baş vermiş, lakin bildirilmə-miş zərərlərin məcmu məbləği</t>
        </is>
      </c>
    </row>
    <row r="11" ht="81.75" customHeight="1" s="132">
      <c r="B11" s="229" t="n"/>
      <c r="C11" s="230" t="n"/>
      <c r="D11" s="231" t="n"/>
      <c r="E11" s="207" t="n">
        <v>1</v>
      </c>
      <c r="F11" s="207" t="n">
        <v>2</v>
      </c>
      <c r="G11" s="207" t="n">
        <v>3</v>
      </c>
      <c r="H11" s="207" t="n">
        <v>4</v>
      </c>
      <c r="I11" s="207" t="n">
        <v>5</v>
      </c>
      <c r="J11" s="207" t="n">
        <v>6</v>
      </c>
      <c r="K11" s="207" t="n">
        <v>7</v>
      </c>
      <c r="L11" s="207" t="n">
        <v>8</v>
      </c>
      <c r="M11" s="207" t="n">
        <v>9</v>
      </c>
      <c r="N11" s="207" t="n">
        <v>10</v>
      </c>
      <c r="O11" s="207" t="n">
        <v>11</v>
      </c>
      <c r="P11" s="207" t="n">
        <v>12</v>
      </c>
      <c r="Q11" s="207" t="n">
        <v>13</v>
      </c>
      <c r="R11" s="207" t="n">
        <v>14</v>
      </c>
      <c r="S11" s="207" t="n">
        <v>15</v>
      </c>
      <c r="T11" s="207" t="n">
        <v>16</v>
      </c>
      <c r="U11" s="207" t="n">
        <v>17</v>
      </c>
      <c r="V11" s="207" t="n">
        <v>18</v>
      </c>
      <c r="W11" s="207" t="n">
        <v>19</v>
      </c>
      <c r="X11" s="207" t="n">
        <v>20</v>
      </c>
      <c r="Y11" s="231" t="n"/>
      <c r="Z11" s="231" t="n"/>
      <c r="AA11" s="231" t="n"/>
      <c r="AB11" s="231" t="n"/>
      <c r="AC11" s="231" t="n"/>
      <c r="AD11" s="231" t="n"/>
      <c r="AE11" s="231" t="n"/>
    </row>
    <row r="12">
      <c r="B12" s="225" t="n">
        <v>1</v>
      </c>
      <c r="C12" s="232" t="n"/>
      <c r="D12" s="126" t="n">
        <v>2</v>
      </c>
      <c r="E12" s="107" t="n">
        <v>3</v>
      </c>
      <c r="F12" s="107" t="n">
        <v>4</v>
      </c>
      <c r="G12" s="107" t="n">
        <v>5</v>
      </c>
      <c r="H12" s="107" t="n">
        <v>6</v>
      </c>
      <c r="I12" s="107" t="n">
        <v>7</v>
      </c>
      <c r="J12" s="107" t="n">
        <v>8</v>
      </c>
      <c r="K12" s="107" t="n">
        <v>9</v>
      </c>
      <c r="L12" s="107" t="n">
        <v>10</v>
      </c>
      <c r="M12" s="107" t="n">
        <v>11</v>
      </c>
      <c r="N12" s="107" t="n">
        <v>12</v>
      </c>
      <c r="O12" s="107" t="n">
        <v>13</v>
      </c>
      <c r="P12" s="107" t="n">
        <v>14</v>
      </c>
      <c r="Q12" s="107" t="n">
        <v>15</v>
      </c>
      <c r="R12" s="107" t="n">
        <v>16</v>
      </c>
      <c r="S12" s="107" t="n">
        <v>17</v>
      </c>
      <c r="T12" s="107" t="n">
        <v>18</v>
      </c>
      <c r="U12" s="107" t="n">
        <v>19</v>
      </c>
      <c r="V12" s="107" t="n">
        <v>20</v>
      </c>
      <c r="W12" s="107" t="n">
        <v>21</v>
      </c>
      <c r="X12" s="107" t="n">
        <v>22</v>
      </c>
      <c r="Y12" s="107" t="inlineStr">
        <is>
          <t>(Н+3)</t>
        </is>
      </c>
      <c r="Z12" s="107" t="inlineStr">
        <is>
          <t>(Н+4)</t>
        </is>
      </c>
      <c r="AA12" s="107" t="inlineStr">
        <is>
          <t>(Н+5)</t>
        </is>
      </c>
      <c r="AB12" s="107" t="inlineStr">
        <is>
          <t>(Н+6)</t>
        </is>
      </c>
      <c r="AC12" s="107" t="inlineStr">
        <is>
          <t>(Н+7)</t>
        </is>
      </c>
      <c r="AD12" s="107" t="inlineStr">
        <is>
          <t>(Н+8)</t>
        </is>
      </c>
      <c r="AE12" s="107" t="inlineStr">
        <is>
          <t>(Н+9)</t>
        </is>
      </c>
    </row>
    <row r="13" ht="12.75" customHeight="1" s="132">
      <c r="A13" t="inlineStr">
        <is>
          <t>A1</t>
        </is>
      </c>
      <c r="B13" s="234" t="inlineStr">
        <is>
          <t>Zərərlərin baş verməsi rübləri</t>
        </is>
      </c>
      <c r="C13" s="108" t="n">
        <v>1</v>
      </c>
      <c r="D13" s="237" t="n">
        <v>44287</v>
      </c>
      <c r="E13" s="243" t="n">
        <v>0</v>
      </c>
      <c r="F13" s="243" t="n">
        <v>0</v>
      </c>
      <c r="G13" s="243" t="n">
        <v>0</v>
      </c>
      <c r="H13" s="243" t="n">
        <v>0</v>
      </c>
      <c r="I13" s="243" t="n">
        <v>0</v>
      </c>
      <c r="J13" s="243" t="n">
        <v>0</v>
      </c>
      <c r="K13" s="243" t="n">
        <v>0</v>
      </c>
      <c r="L13" s="243" t="n">
        <v>0</v>
      </c>
      <c r="M13" s="243" t="n">
        <v>0</v>
      </c>
      <c r="N13" s="243" t="n">
        <v>0</v>
      </c>
      <c r="O13" s="243" t="n">
        <v>0</v>
      </c>
      <c r="P13" s="243" t="n">
        <v>0</v>
      </c>
      <c r="Q13" s="243" t="n">
        <v>0</v>
      </c>
      <c r="R13" s="243" t="n">
        <v>0</v>
      </c>
      <c r="S13" s="243" t="n">
        <v>0</v>
      </c>
      <c r="T13" s="243" t="n">
        <v>0</v>
      </c>
      <c r="U13" s="243" t="n">
        <v>0</v>
      </c>
      <c r="V13" s="243" t="n">
        <v>0</v>
      </c>
      <c r="W13" s="243" t="n">
        <v>0</v>
      </c>
      <c r="X13" s="243" t="n">
        <v>0</v>
      </c>
      <c r="Y13" s="241" t="n">
        <v>94275.37</v>
      </c>
      <c r="Z13" s="247" t="n">
        <v>0</v>
      </c>
      <c r="AA13" s="247" t="n">
        <v>0.2</v>
      </c>
      <c r="AB13" s="243" t="n">
        <v>18855.07</v>
      </c>
      <c r="AC13" s="243" t="n">
        <v>0</v>
      </c>
      <c r="AD13" s="220" t="n">
        <v>0</v>
      </c>
      <c r="AE13" s="243" t="n">
        <v>0</v>
      </c>
    </row>
    <row r="14">
      <c r="A14" t="inlineStr">
        <is>
          <t>A2</t>
        </is>
      </c>
      <c r="B14" s="233" t="n"/>
      <c r="C14" s="108" t="n">
        <v>2</v>
      </c>
      <c r="D14" s="237" t="n">
        <v>44378</v>
      </c>
      <c r="E14" s="243" t="n">
        <v>0</v>
      </c>
      <c r="F14" s="243" t="n">
        <v>0</v>
      </c>
      <c r="G14" s="243" t="n">
        <v>0</v>
      </c>
      <c r="H14" s="243" t="n">
        <v>0</v>
      </c>
      <c r="I14" s="243" t="n">
        <v>0</v>
      </c>
      <c r="J14" s="243" t="n">
        <v>0</v>
      </c>
      <c r="K14" s="243" t="n">
        <v>0</v>
      </c>
      <c r="L14" s="243" t="n">
        <v>0</v>
      </c>
      <c r="M14" s="243" t="n">
        <v>0</v>
      </c>
      <c r="N14" s="243" t="n">
        <v>0</v>
      </c>
      <c r="O14" s="243" t="n">
        <v>0</v>
      </c>
      <c r="P14" s="243" t="n">
        <v>0</v>
      </c>
      <c r="Q14" s="243" t="n">
        <v>0</v>
      </c>
      <c r="R14" s="243" t="n">
        <v>0</v>
      </c>
      <c r="S14" s="243" t="n">
        <v>0</v>
      </c>
      <c r="T14" s="243" t="n">
        <v>0</v>
      </c>
      <c r="U14" s="243" t="n">
        <v>0</v>
      </c>
      <c r="V14" s="243" t="n">
        <v>0</v>
      </c>
      <c r="W14" s="243" t="n">
        <v>0</v>
      </c>
      <c r="X14" s="220" t="inlineStr">
        <is>
          <t>X</t>
        </is>
      </c>
      <c r="Y14" s="241" t="n">
        <v>77365.28999999999</v>
      </c>
      <c r="Z14" s="247" t="n">
        <v>0</v>
      </c>
      <c r="AA14" s="247" t="n">
        <v>0.2</v>
      </c>
      <c r="AB14" s="243" t="n">
        <v>15473.06</v>
      </c>
      <c r="AC14" s="243" t="n">
        <v>0</v>
      </c>
      <c r="AD14" s="220" t="n">
        <v>0</v>
      </c>
      <c r="AE14" s="243" t="n">
        <v>0</v>
      </c>
    </row>
    <row r="15">
      <c r="A15" t="inlineStr">
        <is>
          <t>A3</t>
        </is>
      </c>
      <c r="B15" s="233" t="n"/>
      <c r="C15" s="108" t="n">
        <v>3</v>
      </c>
      <c r="D15" s="237" t="n">
        <v>44470</v>
      </c>
      <c r="E15" s="243" t="n">
        <v>0</v>
      </c>
      <c r="F15" s="243" t="n">
        <v>0</v>
      </c>
      <c r="G15" s="243" t="n">
        <v>0</v>
      </c>
      <c r="H15" s="243" t="n">
        <v>0</v>
      </c>
      <c r="I15" s="243" t="n">
        <v>0</v>
      </c>
      <c r="J15" s="243" t="n">
        <v>0</v>
      </c>
      <c r="K15" s="243" t="n">
        <v>0</v>
      </c>
      <c r="L15" s="243" t="n">
        <v>0</v>
      </c>
      <c r="M15" s="243" t="n">
        <v>0</v>
      </c>
      <c r="N15" s="243" t="n">
        <v>0</v>
      </c>
      <c r="O15" s="243" t="n">
        <v>0</v>
      </c>
      <c r="P15" s="243" t="n">
        <v>0</v>
      </c>
      <c r="Q15" s="243" t="n">
        <v>0</v>
      </c>
      <c r="R15" s="243" t="n">
        <v>0</v>
      </c>
      <c r="S15" s="243" t="n">
        <v>0</v>
      </c>
      <c r="T15" s="243" t="n">
        <v>0</v>
      </c>
      <c r="U15" s="243" t="n">
        <v>0</v>
      </c>
      <c r="V15" s="243" t="n">
        <v>0</v>
      </c>
      <c r="W15" s="220" t="inlineStr">
        <is>
          <t>X</t>
        </is>
      </c>
      <c r="X15" s="220" t="inlineStr">
        <is>
          <t>X</t>
        </is>
      </c>
      <c r="Y15" s="241" t="n">
        <v>78056.94</v>
      </c>
      <c r="Z15" s="247" t="n">
        <v>0</v>
      </c>
      <c r="AA15" s="247" t="n">
        <v>0.2</v>
      </c>
      <c r="AB15" s="243" t="n">
        <v>15611.39</v>
      </c>
      <c r="AC15" s="243" t="n">
        <v>0</v>
      </c>
      <c r="AD15" s="220" t="n">
        <v>0</v>
      </c>
      <c r="AE15" s="243" t="n">
        <v>0</v>
      </c>
    </row>
    <row r="16">
      <c r="A16" t="inlineStr">
        <is>
          <t>A4</t>
        </is>
      </c>
      <c r="B16" s="233" t="n"/>
      <c r="C16" s="108" t="n">
        <v>4</v>
      </c>
      <c r="D16" s="237" t="n">
        <v>44562</v>
      </c>
      <c r="E16" s="243" t="n">
        <v>0</v>
      </c>
      <c r="F16" s="243" t="n">
        <v>0</v>
      </c>
      <c r="G16" s="243" t="n">
        <v>0</v>
      </c>
      <c r="H16" s="243" t="n">
        <v>0</v>
      </c>
      <c r="I16" s="243" t="n">
        <v>0</v>
      </c>
      <c r="J16" s="243" t="n">
        <v>0</v>
      </c>
      <c r="K16" s="243" t="n">
        <v>0</v>
      </c>
      <c r="L16" s="243" t="n">
        <v>0</v>
      </c>
      <c r="M16" s="243" t="n">
        <v>0</v>
      </c>
      <c r="N16" s="243" t="n">
        <v>0</v>
      </c>
      <c r="O16" s="243" t="n">
        <v>0</v>
      </c>
      <c r="P16" s="243" t="n">
        <v>0</v>
      </c>
      <c r="Q16" s="243" t="n">
        <v>0</v>
      </c>
      <c r="R16" s="243" t="n">
        <v>0</v>
      </c>
      <c r="S16" s="243" t="n">
        <v>0</v>
      </c>
      <c r="T16" s="243" t="n">
        <v>0</v>
      </c>
      <c r="U16" s="243" t="n">
        <v>0</v>
      </c>
      <c r="V16" s="220" t="inlineStr">
        <is>
          <t>X</t>
        </is>
      </c>
      <c r="W16" s="220" t="inlineStr">
        <is>
          <t>X</t>
        </is>
      </c>
      <c r="X16" s="220" t="inlineStr">
        <is>
          <t>X</t>
        </is>
      </c>
      <c r="Y16" s="241" t="n">
        <v>85585.02</v>
      </c>
      <c r="Z16" s="247" t="n">
        <v>0</v>
      </c>
      <c r="AA16" s="247" t="n">
        <v>0.2</v>
      </c>
      <c r="AB16" s="243" t="n">
        <v>17117</v>
      </c>
      <c r="AC16" s="243" t="n">
        <v>0</v>
      </c>
      <c r="AD16" s="220" t="n">
        <v>916.7</v>
      </c>
      <c r="AE16" s="243" t="n">
        <v>0</v>
      </c>
    </row>
    <row r="17">
      <c r="A17" t="inlineStr">
        <is>
          <t>A5</t>
        </is>
      </c>
      <c r="B17" s="233" t="n"/>
      <c r="C17" s="108" t="n">
        <v>5</v>
      </c>
      <c r="D17" s="237" t="n">
        <v>44652</v>
      </c>
      <c r="E17" s="243" t="n">
        <v>0</v>
      </c>
      <c r="F17" s="243" t="n">
        <v>0</v>
      </c>
      <c r="G17" s="243" t="n">
        <v>0</v>
      </c>
      <c r="H17" s="243" t="n">
        <v>0</v>
      </c>
      <c r="I17" s="243" t="n">
        <v>0</v>
      </c>
      <c r="J17" s="243" t="n">
        <v>0</v>
      </c>
      <c r="K17" s="243" t="n">
        <v>0</v>
      </c>
      <c r="L17" s="243" t="n">
        <v>0</v>
      </c>
      <c r="M17" s="243" t="n">
        <v>0</v>
      </c>
      <c r="N17" s="243" t="n">
        <v>0</v>
      </c>
      <c r="O17" s="243" t="n">
        <v>0</v>
      </c>
      <c r="P17" s="243" t="n">
        <v>0</v>
      </c>
      <c r="Q17" s="243" t="n">
        <v>0</v>
      </c>
      <c r="R17" s="243" t="n">
        <v>0</v>
      </c>
      <c r="S17" s="243" t="n">
        <v>0</v>
      </c>
      <c r="T17" s="243" t="n">
        <v>0</v>
      </c>
      <c r="U17" s="220" t="inlineStr">
        <is>
          <t>X</t>
        </is>
      </c>
      <c r="V17" s="220" t="inlineStr">
        <is>
          <t>X</t>
        </is>
      </c>
      <c r="W17" s="220" t="inlineStr">
        <is>
          <t>X</t>
        </is>
      </c>
      <c r="X17" s="220" t="inlineStr">
        <is>
          <t>X</t>
        </is>
      </c>
      <c r="Y17" s="241" t="n">
        <v>98750.84</v>
      </c>
      <c r="Z17" s="247" t="n">
        <v>0</v>
      </c>
      <c r="AA17" s="247" t="n">
        <v>0.2</v>
      </c>
      <c r="AB17" s="243" t="n">
        <v>19750.17</v>
      </c>
      <c r="AC17" s="243" t="n">
        <v>0</v>
      </c>
      <c r="AD17" s="220" t="n">
        <v>0</v>
      </c>
      <c r="AE17" s="243" t="n">
        <v>0</v>
      </c>
    </row>
    <row r="18">
      <c r="A18" t="inlineStr">
        <is>
          <t>A6</t>
        </is>
      </c>
      <c r="B18" s="233" t="n"/>
      <c r="C18" s="108" t="n">
        <v>6</v>
      </c>
      <c r="D18" s="237" t="n">
        <v>44743</v>
      </c>
      <c r="E18" s="243" t="n">
        <v>0</v>
      </c>
      <c r="F18" s="243" t="n">
        <v>0</v>
      </c>
      <c r="G18" s="243" t="n">
        <v>0</v>
      </c>
      <c r="H18" s="243" t="n">
        <v>0</v>
      </c>
      <c r="I18" s="243" t="n">
        <v>0</v>
      </c>
      <c r="J18" s="243" t="n">
        <v>0</v>
      </c>
      <c r="K18" s="243" t="n">
        <v>0</v>
      </c>
      <c r="L18" s="243" t="n">
        <v>0</v>
      </c>
      <c r="M18" s="243" t="n">
        <v>0</v>
      </c>
      <c r="N18" s="243" t="n">
        <v>0</v>
      </c>
      <c r="O18" s="243" t="n">
        <v>0</v>
      </c>
      <c r="P18" s="243" t="n">
        <v>0</v>
      </c>
      <c r="Q18" s="243" t="n">
        <v>0</v>
      </c>
      <c r="R18" s="243" t="n">
        <v>0</v>
      </c>
      <c r="S18" s="243" t="n">
        <v>0</v>
      </c>
      <c r="T18" s="220" t="inlineStr">
        <is>
          <t>X</t>
        </is>
      </c>
      <c r="U18" s="220" t="inlineStr">
        <is>
          <t>X</t>
        </is>
      </c>
      <c r="V18" s="220" t="inlineStr">
        <is>
          <t>X</t>
        </is>
      </c>
      <c r="W18" s="220" t="inlineStr">
        <is>
          <t>X</t>
        </is>
      </c>
      <c r="X18" s="220" t="inlineStr">
        <is>
          <t>X</t>
        </is>
      </c>
      <c r="Y18" s="241" t="n">
        <v>90993.96000000001</v>
      </c>
      <c r="Z18" s="247" t="n">
        <v>0</v>
      </c>
      <c r="AA18" s="247" t="n">
        <v>0.2</v>
      </c>
      <c r="AB18" s="243" t="n">
        <v>18198.79</v>
      </c>
      <c r="AC18" s="243" t="n">
        <v>0</v>
      </c>
      <c r="AD18" s="220" t="n">
        <v>0</v>
      </c>
      <c r="AE18" s="243" t="n">
        <v>0</v>
      </c>
    </row>
    <row r="19">
      <c r="A19" t="inlineStr">
        <is>
          <t>A7</t>
        </is>
      </c>
      <c r="B19" s="233" t="n"/>
      <c r="C19" s="108" t="n">
        <v>7</v>
      </c>
      <c r="D19" s="237" t="n">
        <v>44835</v>
      </c>
      <c r="E19" s="243" t="n">
        <v>0</v>
      </c>
      <c r="F19" s="243" t="n">
        <v>0</v>
      </c>
      <c r="G19" s="243" t="n">
        <v>38250</v>
      </c>
      <c r="H19" s="243" t="n">
        <v>38250</v>
      </c>
      <c r="I19" s="243" t="n">
        <v>38250</v>
      </c>
      <c r="J19" s="243" t="n">
        <v>38250</v>
      </c>
      <c r="K19" s="243" t="n">
        <v>38250</v>
      </c>
      <c r="L19" s="243" t="n">
        <v>38250</v>
      </c>
      <c r="M19" s="243" t="n">
        <v>38250</v>
      </c>
      <c r="N19" s="243" t="n">
        <v>38250</v>
      </c>
      <c r="O19" s="243" t="n">
        <v>38250</v>
      </c>
      <c r="P19" s="243" t="n">
        <v>38250</v>
      </c>
      <c r="Q19" s="243" t="n">
        <v>38250</v>
      </c>
      <c r="R19" s="243" t="n">
        <v>38250</v>
      </c>
      <c r="S19" s="220" t="inlineStr">
        <is>
          <t>X</t>
        </is>
      </c>
      <c r="T19" s="220" t="inlineStr">
        <is>
          <t>X</t>
        </is>
      </c>
      <c r="U19" s="220" t="inlineStr">
        <is>
          <t>X</t>
        </is>
      </c>
      <c r="V19" s="220" t="inlineStr">
        <is>
          <t>X</t>
        </is>
      </c>
      <c r="W19" s="220" t="inlineStr">
        <is>
          <t>X</t>
        </is>
      </c>
      <c r="X19" s="220" t="inlineStr">
        <is>
          <t>X</t>
        </is>
      </c>
      <c r="Y19" s="241" t="n">
        <v>90331.89999999999</v>
      </c>
      <c r="Z19" s="247" t="n">
        <v>0.4234</v>
      </c>
      <c r="AA19" s="247" t="n">
        <v>0.2</v>
      </c>
      <c r="AB19" s="243" t="n">
        <v>18066.38</v>
      </c>
      <c r="AC19" s="243" t="n">
        <v>0</v>
      </c>
      <c r="AD19" s="220" t="n">
        <v>0</v>
      </c>
      <c r="AE19" s="243" t="n">
        <v>0</v>
      </c>
    </row>
    <row r="20">
      <c r="A20" t="inlineStr">
        <is>
          <t>A8</t>
        </is>
      </c>
      <c r="B20" s="233" t="n"/>
      <c r="C20" s="108" t="n">
        <v>8</v>
      </c>
      <c r="D20" s="237" t="n">
        <v>44927</v>
      </c>
      <c r="E20" s="243" t="n">
        <v>0</v>
      </c>
      <c r="F20" s="243" t="n">
        <v>0</v>
      </c>
      <c r="G20" s="243" t="n">
        <v>0</v>
      </c>
      <c r="H20" s="243" t="n">
        <v>0</v>
      </c>
      <c r="I20" s="243" t="n">
        <v>0</v>
      </c>
      <c r="J20" s="243" t="n">
        <v>0</v>
      </c>
      <c r="K20" s="243" t="n">
        <v>0</v>
      </c>
      <c r="L20" s="243" t="n">
        <v>0</v>
      </c>
      <c r="M20" s="243" t="n">
        <v>0</v>
      </c>
      <c r="N20" s="243" t="n">
        <v>0</v>
      </c>
      <c r="O20" s="243" t="n">
        <v>0</v>
      </c>
      <c r="P20" s="243" t="n">
        <v>0</v>
      </c>
      <c r="Q20" s="243" t="n">
        <v>0</v>
      </c>
      <c r="R20" s="220" t="inlineStr">
        <is>
          <t>X</t>
        </is>
      </c>
      <c r="S20" s="220" t="inlineStr">
        <is>
          <t>X</t>
        </is>
      </c>
      <c r="T20" s="220" t="inlineStr">
        <is>
          <t>X</t>
        </is>
      </c>
      <c r="U20" s="220" t="inlineStr">
        <is>
          <t>X</t>
        </is>
      </c>
      <c r="V20" s="220" t="inlineStr">
        <is>
          <t>X</t>
        </is>
      </c>
      <c r="W20" s="220" t="inlineStr">
        <is>
          <t>X</t>
        </is>
      </c>
      <c r="X20" s="220" t="inlineStr">
        <is>
          <t>X</t>
        </is>
      </c>
      <c r="Y20" s="241" t="n">
        <v>88513.60000000001</v>
      </c>
      <c r="Z20" s="247" t="n">
        <v>0</v>
      </c>
      <c r="AA20" s="247" t="n">
        <v>0.2</v>
      </c>
      <c r="AB20" s="243" t="n">
        <v>17702.72</v>
      </c>
      <c r="AC20" s="243" t="n">
        <v>0</v>
      </c>
      <c r="AD20" s="220" t="n">
        <v>0</v>
      </c>
      <c r="AE20" s="243" t="n">
        <v>0</v>
      </c>
    </row>
    <row r="21">
      <c r="A21" t="inlineStr">
        <is>
          <t>A9</t>
        </is>
      </c>
      <c r="B21" s="233" t="n"/>
      <c r="C21" s="108" t="n">
        <v>9</v>
      </c>
      <c r="D21" s="237" t="n">
        <v>45017</v>
      </c>
      <c r="E21" s="243" t="n">
        <v>0</v>
      </c>
      <c r="F21" s="243" t="n">
        <v>0</v>
      </c>
      <c r="G21" s="243" t="n">
        <v>0</v>
      </c>
      <c r="H21" s="243" t="n">
        <v>0</v>
      </c>
      <c r="I21" s="243" t="n">
        <v>0</v>
      </c>
      <c r="J21" s="243" t="n">
        <v>0</v>
      </c>
      <c r="K21" s="243" t="n">
        <v>0</v>
      </c>
      <c r="L21" s="243" t="n">
        <v>0</v>
      </c>
      <c r="M21" s="243" t="n">
        <v>0</v>
      </c>
      <c r="N21" s="243" t="n">
        <v>0</v>
      </c>
      <c r="O21" s="243" t="n">
        <v>0</v>
      </c>
      <c r="P21" s="243" t="n">
        <v>0</v>
      </c>
      <c r="Q21" s="220" t="inlineStr">
        <is>
          <t>X</t>
        </is>
      </c>
      <c r="R21" s="220" t="inlineStr">
        <is>
          <t>X</t>
        </is>
      </c>
      <c r="S21" s="220" t="inlineStr">
        <is>
          <t>X</t>
        </is>
      </c>
      <c r="T21" s="220" t="inlineStr">
        <is>
          <t>X</t>
        </is>
      </c>
      <c r="U21" s="220" t="inlineStr">
        <is>
          <t>X</t>
        </is>
      </c>
      <c r="V21" s="220" t="inlineStr">
        <is>
          <t>X</t>
        </is>
      </c>
      <c r="W21" s="220" t="inlineStr">
        <is>
          <t>X</t>
        </is>
      </c>
      <c r="X21" s="220" t="inlineStr">
        <is>
          <t>X</t>
        </is>
      </c>
      <c r="Y21" s="241" t="n">
        <v>83565.42</v>
      </c>
      <c r="Z21" s="247" t="n">
        <v>0</v>
      </c>
      <c r="AA21" s="247" t="n">
        <v>0.2</v>
      </c>
      <c r="AB21" s="243" t="n">
        <v>16713.08</v>
      </c>
      <c r="AC21" s="243" t="n">
        <v>0</v>
      </c>
      <c r="AD21" s="220" t="n">
        <v>0</v>
      </c>
      <c r="AE21" s="243" t="n">
        <v>0</v>
      </c>
    </row>
    <row r="22">
      <c r="A22" t="inlineStr">
        <is>
          <t>A10</t>
        </is>
      </c>
      <c r="B22" s="233" t="n"/>
      <c r="C22" s="108" t="n">
        <v>10</v>
      </c>
      <c r="D22" s="237" t="n">
        <v>45108</v>
      </c>
      <c r="E22" s="243" t="n">
        <v>0</v>
      </c>
      <c r="F22" s="243" t="n">
        <v>0</v>
      </c>
      <c r="G22" s="243" t="n">
        <v>0</v>
      </c>
      <c r="H22" s="243" t="n">
        <v>0</v>
      </c>
      <c r="I22" s="243" t="n">
        <v>0</v>
      </c>
      <c r="J22" s="243" t="n">
        <v>0</v>
      </c>
      <c r="K22" s="243" t="n">
        <v>0</v>
      </c>
      <c r="L22" s="243" t="n">
        <v>0</v>
      </c>
      <c r="M22" s="243" t="n">
        <v>0</v>
      </c>
      <c r="N22" s="243" t="n">
        <v>0</v>
      </c>
      <c r="O22" s="243" t="n">
        <v>0</v>
      </c>
      <c r="P22" s="220" t="inlineStr">
        <is>
          <t>X</t>
        </is>
      </c>
      <c r="Q22" s="220" t="inlineStr">
        <is>
          <t>X</t>
        </is>
      </c>
      <c r="R22" s="220" t="inlineStr">
        <is>
          <t>X</t>
        </is>
      </c>
      <c r="S22" s="220" t="inlineStr">
        <is>
          <t>X</t>
        </is>
      </c>
      <c r="T22" s="220" t="inlineStr">
        <is>
          <t>X</t>
        </is>
      </c>
      <c r="U22" s="220" t="inlineStr">
        <is>
          <t>X</t>
        </is>
      </c>
      <c r="V22" s="220" t="inlineStr">
        <is>
          <t>X</t>
        </is>
      </c>
      <c r="W22" s="220" t="inlineStr">
        <is>
          <t>X</t>
        </is>
      </c>
      <c r="X22" s="220" t="inlineStr">
        <is>
          <t>X</t>
        </is>
      </c>
      <c r="Y22" s="241" t="n">
        <v>112136.51</v>
      </c>
      <c r="Z22" s="247" t="n">
        <v>0</v>
      </c>
      <c r="AA22" s="247" t="n">
        <v>0.2</v>
      </c>
      <c r="AB22" s="243" t="n">
        <v>22427.3</v>
      </c>
      <c r="AC22" s="243" t="n">
        <v>0</v>
      </c>
      <c r="AD22" s="220" t="n">
        <v>0</v>
      </c>
      <c r="AE22" s="243" t="n">
        <v>0</v>
      </c>
    </row>
    <row r="23">
      <c r="A23" t="inlineStr">
        <is>
          <t>A11</t>
        </is>
      </c>
      <c r="B23" s="233" t="n"/>
      <c r="C23" s="108" t="n">
        <v>11</v>
      </c>
      <c r="D23" s="237" t="n">
        <v>45200</v>
      </c>
      <c r="E23" s="243" t="n">
        <v>0</v>
      </c>
      <c r="F23" s="243" t="n">
        <v>0</v>
      </c>
      <c r="G23" s="243" t="n">
        <v>0</v>
      </c>
      <c r="H23" s="243" t="n">
        <v>0</v>
      </c>
      <c r="I23" s="243" t="n">
        <v>0</v>
      </c>
      <c r="J23" s="243" t="n">
        <v>0</v>
      </c>
      <c r="K23" s="243" t="n">
        <v>0</v>
      </c>
      <c r="L23" s="243" t="n">
        <v>0</v>
      </c>
      <c r="M23" s="243" t="n">
        <v>0</v>
      </c>
      <c r="N23" s="243" t="n">
        <v>0</v>
      </c>
      <c r="O23" s="220" t="inlineStr">
        <is>
          <t>X</t>
        </is>
      </c>
      <c r="P23" s="220" t="inlineStr">
        <is>
          <t>X</t>
        </is>
      </c>
      <c r="Q23" s="220" t="inlineStr">
        <is>
          <t>X</t>
        </is>
      </c>
      <c r="R23" s="220" t="inlineStr">
        <is>
          <t>X</t>
        </is>
      </c>
      <c r="S23" s="220" t="inlineStr">
        <is>
          <t>X</t>
        </is>
      </c>
      <c r="T23" s="220" t="inlineStr">
        <is>
          <t>X</t>
        </is>
      </c>
      <c r="U23" s="220" t="inlineStr">
        <is>
          <t>X</t>
        </is>
      </c>
      <c r="V23" s="220" t="inlineStr">
        <is>
          <t>X</t>
        </is>
      </c>
      <c r="W23" s="220" t="inlineStr">
        <is>
          <t>X</t>
        </is>
      </c>
      <c r="X23" s="220" t="inlineStr">
        <is>
          <t>X</t>
        </is>
      </c>
      <c r="Y23" s="241" t="n">
        <v>116577.96</v>
      </c>
      <c r="Z23" s="247" t="n">
        <v>0</v>
      </c>
      <c r="AA23" s="247" t="n">
        <v>0.2</v>
      </c>
      <c r="AB23" s="243" t="n">
        <v>23315.59</v>
      </c>
      <c r="AC23" s="243" t="n">
        <v>0</v>
      </c>
      <c r="AD23" s="220" t="n">
        <v>0</v>
      </c>
      <c r="AE23" s="243" t="n">
        <v>0</v>
      </c>
    </row>
    <row r="24">
      <c r="A24" t="inlineStr">
        <is>
          <t>A12</t>
        </is>
      </c>
      <c r="B24" s="233" t="n"/>
      <c r="C24" s="108" t="n">
        <v>12</v>
      </c>
      <c r="D24" s="237" t="n">
        <v>45292</v>
      </c>
      <c r="E24" s="243" t="n">
        <v>0</v>
      </c>
      <c r="F24" s="243" t="n">
        <v>0</v>
      </c>
      <c r="G24" s="243" t="n">
        <v>0</v>
      </c>
      <c r="H24" s="243" t="n">
        <v>0</v>
      </c>
      <c r="I24" s="243" t="n">
        <v>0</v>
      </c>
      <c r="J24" s="243" t="n">
        <v>0</v>
      </c>
      <c r="K24" s="243" t="n">
        <v>0</v>
      </c>
      <c r="L24" s="243" t="n">
        <v>0</v>
      </c>
      <c r="M24" s="243" t="n">
        <v>0</v>
      </c>
      <c r="N24" s="220" t="inlineStr">
        <is>
          <t>X</t>
        </is>
      </c>
      <c r="O24" s="220" t="inlineStr">
        <is>
          <t>X</t>
        </is>
      </c>
      <c r="P24" s="220" t="inlineStr">
        <is>
          <t>X</t>
        </is>
      </c>
      <c r="Q24" s="220" t="inlineStr">
        <is>
          <t>X</t>
        </is>
      </c>
      <c r="R24" s="220" t="inlineStr">
        <is>
          <t>X</t>
        </is>
      </c>
      <c r="S24" s="220" t="inlineStr">
        <is>
          <t>X</t>
        </is>
      </c>
      <c r="T24" s="220" t="inlineStr">
        <is>
          <t>X</t>
        </is>
      </c>
      <c r="U24" s="220" t="inlineStr">
        <is>
          <t>X</t>
        </is>
      </c>
      <c r="V24" s="220" t="inlineStr">
        <is>
          <t>X</t>
        </is>
      </c>
      <c r="W24" s="220" t="inlineStr">
        <is>
          <t>X</t>
        </is>
      </c>
      <c r="X24" s="220" t="inlineStr">
        <is>
          <t>X</t>
        </is>
      </c>
      <c r="Y24" s="241" t="n">
        <v>87780.33</v>
      </c>
      <c r="Z24" s="247" t="n">
        <v>0</v>
      </c>
      <c r="AA24" s="247" t="n">
        <v>0.2</v>
      </c>
      <c r="AB24" s="243" t="n">
        <v>17556.07</v>
      </c>
      <c r="AC24" s="243" t="n">
        <v>0</v>
      </c>
      <c r="AD24" s="220" t="n">
        <v>0</v>
      </c>
      <c r="AE24" s="243" t="n">
        <v>0</v>
      </c>
    </row>
    <row r="25">
      <c r="A25" t="inlineStr">
        <is>
          <t>A13</t>
        </is>
      </c>
      <c r="B25" s="233" t="n"/>
      <c r="C25" s="108" t="n">
        <v>13</v>
      </c>
      <c r="D25" s="237" t="n">
        <v>45383</v>
      </c>
      <c r="E25" s="243" t="n">
        <v>0</v>
      </c>
      <c r="F25" s="243" t="n">
        <v>0</v>
      </c>
      <c r="G25" s="243" t="n">
        <v>0</v>
      </c>
      <c r="H25" s="243" t="n">
        <v>0</v>
      </c>
      <c r="I25" s="243" t="n">
        <v>0</v>
      </c>
      <c r="J25" s="243" t="n">
        <v>0</v>
      </c>
      <c r="K25" s="243" t="n">
        <v>0</v>
      </c>
      <c r="L25" s="243" t="n">
        <v>0</v>
      </c>
      <c r="M25" s="220" t="inlineStr">
        <is>
          <t>X</t>
        </is>
      </c>
      <c r="N25" s="220" t="inlineStr">
        <is>
          <t>X</t>
        </is>
      </c>
      <c r="O25" s="220" t="inlineStr">
        <is>
          <t>X</t>
        </is>
      </c>
      <c r="P25" s="220" t="inlineStr">
        <is>
          <t>X</t>
        </is>
      </c>
      <c r="Q25" s="220" t="inlineStr">
        <is>
          <t>X</t>
        </is>
      </c>
      <c r="R25" s="220" t="inlineStr">
        <is>
          <t>X</t>
        </is>
      </c>
      <c r="S25" s="220" t="inlineStr">
        <is>
          <t>X</t>
        </is>
      </c>
      <c r="T25" s="220" t="inlineStr">
        <is>
          <t>X</t>
        </is>
      </c>
      <c r="U25" s="220" t="inlineStr">
        <is>
          <t>X</t>
        </is>
      </c>
      <c r="V25" s="220" t="inlineStr">
        <is>
          <t>X</t>
        </is>
      </c>
      <c r="W25" s="220" t="inlineStr">
        <is>
          <t>X</t>
        </is>
      </c>
      <c r="X25" s="220" t="inlineStr">
        <is>
          <t>X</t>
        </is>
      </c>
      <c r="Y25" s="241" t="n">
        <v>82306.36</v>
      </c>
      <c r="Z25" s="247" t="n">
        <v>0</v>
      </c>
      <c r="AA25" s="247" t="n">
        <v>0.2</v>
      </c>
      <c r="AB25" s="243" t="n">
        <v>16461.27</v>
      </c>
      <c r="AC25" s="243" t="n">
        <v>0</v>
      </c>
      <c r="AD25" s="220" t="n">
        <v>2890</v>
      </c>
      <c r="AE25" s="243" t="n">
        <v>0</v>
      </c>
    </row>
    <row r="26">
      <c r="A26" t="inlineStr">
        <is>
          <t>A14</t>
        </is>
      </c>
      <c r="B26" s="233" t="n"/>
      <c r="C26" s="108" t="n">
        <v>14</v>
      </c>
      <c r="D26" s="237" t="n">
        <v>45474</v>
      </c>
      <c r="E26" s="243" t="n">
        <v>0</v>
      </c>
      <c r="F26" s="243" t="n">
        <v>0</v>
      </c>
      <c r="G26" s="243" t="n">
        <v>0</v>
      </c>
      <c r="H26" s="243" t="n">
        <v>0</v>
      </c>
      <c r="I26" s="243" t="n">
        <v>0</v>
      </c>
      <c r="J26" s="243" t="n">
        <v>0</v>
      </c>
      <c r="K26" s="243" t="n">
        <v>0</v>
      </c>
      <c r="L26" s="220" t="inlineStr">
        <is>
          <t>X</t>
        </is>
      </c>
      <c r="M26" s="220" t="inlineStr">
        <is>
          <t>X</t>
        </is>
      </c>
      <c r="N26" s="220" t="inlineStr">
        <is>
          <t>X</t>
        </is>
      </c>
      <c r="O26" s="220" t="inlineStr">
        <is>
          <t>X</t>
        </is>
      </c>
      <c r="P26" s="220" t="inlineStr">
        <is>
          <t>X</t>
        </is>
      </c>
      <c r="Q26" s="220" t="inlineStr">
        <is>
          <t>X</t>
        </is>
      </c>
      <c r="R26" s="220" t="inlineStr">
        <is>
          <t>X</t>
        </is>
      </c>
      <c r="S26" s="220" t="inlineStr">
        <is>
          <t>X</t>
        </is>
      </c>
      <c r="T26" s="220" t="inlineStr">
        <is>
          <t>X</t>
        </is>
      </c>
      <c r="U26" s="220" t="inlineStr">
        <is>
          <t>X</t>
        </is>
      </c>
      <c r="V26" s="220" t="inlineStr">
        <is>
          <t>X</t>
        </is>
      </c>
      <c r="W26" s="220" t="inlineStr">
        <is>
          <t>X</t>
        </is>
      </c>
      <c r="X26" s="220" t="inlineStr">
        <is>
          <t>X</t>
        </is>
      </c>
      <c r="Y26" s="241" t="n">
        <v>73736.75</v>
      </c>
      <c r="Z26" s="247" t="n">
        <v>0</v>
      </c>
      <c r="AA26" s="247" t="n">
        <v>0.2</v>
      </c>
      <c r="AB26" s="243" t="n">
        <v>14747.35</v>
      </c>
      <c r="AC26" s="243" t="n">
        <v>36.87</v>
      </c>
      <c r="AD26" s="220" t="n">
        <v>20150</v>
      </c>
      <c r="AE26" s="243" t="n">
        <v>0</v>
      </c>
    </row>
    <row r="27">
      <c r="A27" t="inlineStr">
        <is>
          <t>A15</t>
        </is>
      </c>
      <c r="B27" s="233" t="n"/>
      <c r="C27" s="108" t="n">
        <v>15</v>
      </c>
      <c r="D27" s="237" t="n">
        <v>45566</v>
      </c>
      <c r="E27" s="243" t="n">
        <v>0</v>
      </c>
      <c r="F27" s="243" t="n">
        <v>0</v>
      </c>
      <c r="G27" s="243" t="n">
        <v>0</v>
      </c>
      <c r="H27" s="243" t="n">
        <v>0</v>
      </c>
      <c r="I27" s="243" t="n">
        <v>0</v>
      </c>
      <c r="J27" s="243" t="n">
        <v>0</v>
      </c>
      <c r="K27" s="220" t="inlineStr">
        <is>
          <t>X</t>
        </is>
      </c>
      <c r="L27" s="220" t="inlineStr">
        <is>
          <t>X</t>
        </is>
      </c>
      <c r="M27" s="220" t="inlineStr">
        <is>
          <t>X</t>
        </is>
      </c>
      <c r="N27" s="220" t="inlineStr">
        <is>
          <t>X</t>
        </is>
      </c>
      <c r="O27" s="220" t="inlineStr">
        <is>
          <t>X</t>
        </is>
      </c>
      <c r="P27" s="220" t="inlineStr">
        <is>
          <t>X</t>
        </is>
      </c>
      <c r="Q27" s="220" t="inlineStr">
        <is>
          <t>X</t>
        </is>
      </c>
      <c r="R27" s="220" t="inlineStr">
        <is>
          <t>X</t>
        </is>
      </c>
      <c r="S27" s="220" t="inlineStr">
        <is>
          <t>X</t>
        </is>
      </c>
      <c r="T27" s="220" t="inlineStr">
        <is>
          <t>X</t>
        </is>
      </c>
      <c r="U27" s="220" t="inlineStr">
        <is>
          <t>X</t>
        </is>
      </c>
      <c r="V27" s="220" t="inlineStr">
        <is>
          <t>X</t>
        </is>
      </c>
      <c r="W27" s="220" t="inlineStr">
        <is>
          <t>X</t>
        </is>
      </c>
      <c r="X27" s="220" t="inlineStr">
        <is>
          <t>X</t>
        </is>
      </c>
      <c r="Y27" s="241" t="n">
        <v>75795.47</v>
      </c>
      <c r="Z27" s="247" t="n">
        <v>0</v>
      </c>
      <c r="AA27" s="247" t="n">
        <v>0.2</v>
      </c>
      <c r="AB27" s="243" t="n">
        <v>15159.09</v>
      </c>
      <c r="AC27" s="243" t="n">
        <v>280.44</v>
      </c>
      <c r="AD27" s="220" t="n">
        <v>0</v>
      </c>
      <c r="AE27" s="243" t="n">
        <v>280.44</v>
      </c>
    </row>
    <row r="28">
      <c r="A28" t="inlineStr">
        <is>
          <t>A16</t>
        </is>
      </c>
      <c r="B28" s="233" t="n"/>
      <c r="C28" s="108" t="n">
        <v>16</v>
      </c>
      <c r="D28" s="237" t="n">
        <v>45658</v>
      </c>
      <c r="E28" s="243" t="n">
        <v>0</v>
      </c>
      <c r="F28" s="243" t="n">
        <v>0</v>
      </c>
      <c r="G28" s="243" t="n">
        <v>0</v>
      </c>
      <c r="H28" s="243" t="n">
        <v>0</v>
      </c>
      <c r="I28" s="243" t="n">
        <v>0</v>
      </c>
      <c r="J28" s="220" t="inlineStr">
        <is>
          <t>X</t>
        </is>
      </c>
      <c r="K28" s="220" t="inlineStr">
        <is>
          <t>X</t>
        </is>
      </c>
      <c r="L28" s="220" t="inlineStr">
        <is>
          <t>X</t>
        </is>
      </c>
      <c r="M28" s="220" t="inlineStr">
        <is>
          <t>X</t>
        </is>
      </c>
      <c r="N28" s="220" t="inlineStr">
        <is>
          <t>X</t>
        </is>
      </c>
      <c r="O28" s="220" t="inlineStr">
        <is>
          <t>X</t>
        </is>
      </c>
      <c r="P28" s="220" t="inlineStr">
        <is>
          <t>X</t>
        </is>
      </c>
      <c r="Q28" s="220" t="inlineStr">
        <is>
          <t>X</t>
        </is>
      </c>
      <c r="R28" s="220" t="inlineStr">
        <is>
          <t>X</t>
        </is>
      </c>
      <c r="S28" s="220" t="inlineStr">
        <is>
          <t>X</t>
        </is>
      </c>
      <c r="T28" s="220" t="inlineStr">
        <is>
          <t>X</t>
        </is>
      </c>
      <c r="U28" s="220" t="inlineStr">
        <is>
          <t>X</t>
        </is>
      </c>
      <c r="V28" s="220" t="inlineStr">
        <is>
          <t>X</t>
        </is>
      </c>
      <c r="W28" s="220" t="inlineStr">
        <is>
          <t>X</t>
        </is>
      </c>
      <c r="X28" s="220" t="inlineStr">
        <is>
          <t>X</t>
        </is>
      </c>
      <c r="Y28" s="241" t="n">
        <v>114696.77</v>
      </c>
      <c r="Z28" s="247" t="n">
        <v>0</v>
      </c>
      <c r="AA28" s="247" t="n">
        <v>0.2</v>
      </c>
      <c r="AB28" s="243" t="n">
        <v>22939.35</v>
      </c>
      <c r="AC28" s="243" t="n">
        <v>770.76</v>
      </c>
      <c r="AD28" s="220" t="n">
        <v>0</v>
      </c>
      <c r="AE28" s="243" t="n">
        <v>770.76</v>
      </c>
    </row>
    <row r="29" ht="12" customHeight="1" s="132">
      <c r="A29" t="inlineStr">
        <is>
          <t>A17</t>
        </is>
      </c>
      <c r="B29" s="233" t="n"/>
      <c r="C29" s="108" t="n">
        <v>17</v>
      </c>
      <c r="D29" s="237" t="n">
        <v>45748</v>
      </c>
      <c r="E29" s="243" t="n">
        <v>0</v>
      </c>
      <c r="F29" s="243" t="n">
        <v>0</v>
      </c>
      <c r="G29" s="243" t="n">
        <v>0</v>
      </c>
      <c r="H29" s="243" t="n">
        <v>0</v>
      </c>
      <c r="I29" s="220" t="inlineStr">
        <is>
          <t>X</t>
        </is>
      </c>
      <c r="J29" s="220" t="inlineStr">
        <is>
          <t>X</t>
        </is>
      </c>
      <c r="K29" s="220" t="inlineStr">
        <is>
          <t>X</t>
        </is>
      </c>
      <c r="L29" s="220" t="inlineStr">
        <is>
          <t>X</t>
        </is>
      </c>
      <c r="M29" s="220" t="inlineStr">
        <is>
          <t>X</t>
        </is>
      </c>
      <c r="N29" s="220" t="inlineStr">
        <is>
          <t>X</t>
        </is>
      </c>
      <c r="O29" s="220" t="inlineStr">
        <is>
          <t>X</t>
        </is>
      </c>
      <c r="P29" s="220" t="inlineStr">
        <is>
          <t>X</t>
        </is>
      </c>
      <c r="Q29" s="220" t="inlineStr">
        <is>
          <t>X</t>
        </is>
      </c>
      <c r="R29" s="220" t="inlineStr">
        <is>
          <t>X</t>
        </is>
      </c>
      <c r="S29" s="220" t="inlineStr">
        <is>
          <t>X</t>
        </is>
      </c>
      <c r="T29" s="220" t="inlineStr">
        <is>
          <t>X</t>
        </is>
      </c>
      <c r="U29" s="220" t="inlineStr">
        <is>
          <t>X</t>
        </is>
      </c>
      <c r="V29" s="220" t="inlineStr">
        <is>
          <t>X</t>
        </is>
      </c>
      <c r="W29" s="220" t="inlineStr">
        <is>
          <t>X</t>
        </is>
      </c>
      <c r="X29" s="220" t="inlineStr">
        <is>
          <t>X</t>
        </is>
      </c>
      <c r="Y29" s="241" t="n">
        <v>104051.04</v>
      </c>
      <c r="Z29" s="247" t="n">
        <v>0</v>
      </c>
      <c r="AA29" s="247" t="n">
        <v>0.2</v>
      </c>
      <c r="AB29" s="243" t="n">
        <v>20810.21</v>
      </c>
      <c r="AC29" s="243" t="n">
        <v>1350.58</v>
      </c>
      <c r="AD29" s="220" t="n">
        <v>0</v>
      </c>
      <c r="AE29" s="243" t="n">
        <v>1350.58</v>
      </c>
    </row>
    <row r="30">
      <c r="A30" t="inlineStr">
        <is>
          <t>A18</t>
        </is>
      </c>
      <c r="B30" s="233" t="n"/>
      <c r="C30" s="108" t="n">
        <v>18</v>
      </c>
      <c r="D30" s="237" t="n">
        <v>45839</v>
      </c>
      <c r="E30" s="243" t="n">
        <v>0</v>
      </c>
      <c r="F30" s="243" t="n">
        <v>0</v>
      </c>
      <c r="G30" s="243" t="n">
        <v>0</v>
      </c>
      <c r="H30" s="220" t="inlineStr">
        <is>
          <t>X</t>
        </is>
      </c>
      <c r="I30" s="220" t="inlineStr">
        <is>
          <t>X</t>
        </is>
      </c>
      <c r="J30" s="220" t="inlineStr">
        <is>
          <t>X</t>
        </is>
      </c>
      <c r="K30" s="220" t="inlineStr">
        <is>
          <t>X</t>
        </is>
      </c>
      <c r="L30" s="220" t="inlineStr">
        <is>
          <t>X</t>
        </is>
      </c>
      <c r="M30" s="220" t="inlineStr">
        <is>
          <t>X</t>
        </is>
      </c>
      <c r="N30" s="220" t="inlineStr">
        <is>
          <t>X</t>
        </is>
      </c>
      <c r="O30" s="220" t="inlineStr">
        <is>
          <t>X</t>
        </is>
      </c>
      <c r="P30" s="220" t="inlineStr">
        <is>
          <t>X</t>
        </is>
      </c>
      <c r="Q30" s="220" t="inlineStr">
        <is>
          <t>X</t>
        </is>
      </c>
      <c r="R30" s="220" t="inlineStr">
        <is>
          <t>X</t>
        </is>
      </c>
      <c r="S30" s="220" t="inlineStr">
        <is>
          <t>X</t>
        </is>
      </c>
      <c r="T30" s="220" t="inlineStr">
        <is>
          <t>X</t>
        </is>
      </c>
      <c r="U30" s="220" t="inlineStr">
        <is>
          <t>X</t>
        </is>
      </c>
      <c r="V30" s="220" t="inlineStr">
        <is>
          <t>X</t>
        </is>
      </c>
      <c r="W30" s="220" t="inlineStr">
        <is>
          <t>X</t>
        </is>
      </c>
      <c r="X30" s="220" t="inlineStr">
        <is>
          <t>X</t>
        </is>
      </c>
      <c r="Y30" s="241" t="n">
        <v>113779.78</v>
      </c>
      <c r="Z30" s="247" t="n">
        <v>0</v>
      </c>
      <c r="AA30" s="247" t="n">
        <v>0.2</v>
      </c>
      <c r="AB30" s="243" t="n">
        <v>22755.96</v>
      </c>
      <c r="AC30" s="243" t="n">
        <v>2307.45</v>
      </c>
      <c r="AD30" s="220" t="n">
        <v>0</v>
      </c>
      <c r="AE30" s="243" t="n">
        <v>2307.45</v>
      </c>
    </row>
    <row r="31">
      <c r="A31" t="inlineStr">
        <is>
          <t>A19</t>
        </is>
      </c>
      <c r="B31" s="233" t="n"/>
      <c r="C31" s="108" t="n">
        <v>19</v>
      </c>
      <c r="D31" s="237" t="n">
        <v>45931</v>
      </c>
      <c r="E31" s="243" t="n">
        <v>0</v>
      </c>
      <c r="F31" s="243" t="n">
        <v>0</v>
      </c>
      <c r="G31" s="220" t="inlineStr">
        <is>
          <t>X</t>
        </is>
      </c>
      <c r="H31" s="220" t="inlineStr">
        <is>
          <t>X</t>
        </is>
      </c>
      <c r="I31" s="220" t="inlineStr">
        <is>
          <t>X</t>
        </is>
      </c>
      <c r="J31" s="220" t="inlineStr">
        <is>
          <t>X</t>
        </is>
      </c>
      <c r="K31" s="220" t="inlineStr">
        <is>
          <t>X</t>
        </is>
      </c>
      <c r="L31" s="220" t="inlineStr">
        <is>
          <t>X</t>
        </is>
      </c>
      <c r="M31" s="220" t="inlineStr">
        <is>
          <t>X</t>
        </is>
      </c>
      <c r="N31" s="220" t="inlineStr">
        <is>
          <t>X</t>
        </is>
      </c>
      <c r="O31" s="220" t="inlineStr">
        <is>
          <t>X</t>
        </is>
      </c>
      <c r="P31" s="220" t="inlineStr">
        <is>
          <t>X</t>
        </is>
      </c>
      <c r="Q31" s="220" t="inlineStr">
        <is>
          <t>X</t>
        </is>
      </c>
      <c r="R31" s="220" t="inlineStr">
        <is>
          <t>X</t>
        </is>
      </c>
      <c r="S31" s="220" t="inlineStr">
        <is>
          <t>X</t>
        </is>
      </c>
      <c r="T31" s="220" t="inlineStr">
        <is>
          <t>X</t>
        </is>
      </c>
      <c r="U31" s="220" t="inlineStr">
        <is>
          <t>X</t>
        </is>
      </c>
      <c r="V31" s="220" t="inlineStr">
        <is>
          <t>X</t>
        </is>
      </c>
      <c r="W31" s="220" t="inlineStr">
        <is>
          <t>X</t>
        </is>
      </c>
      <c r="X31" s="220" t="inlineStr">
        <is>
          <t>X</t>
        </is>
      </c>
      <c r="Y31" s="241" t="n">
        <v>153124.58</v>
      </c>
      <c r="Z31" s="247" t="n">
        <v>0</v>
      </c>
      <c r="AA31" s="247" t="n">
        <v>0.2</v>
      </c>
      <c r="AB31" s="243" t="n">
        <v>30624.92</v>
      </c>
      <c r="AC31" s="243" t="n">
        <v>4599.86</v>
      </c>
      <c r="AD31" s="220" t="n">
        <v>100</v>
      </c>
      <c r="AE31" s="243" t="n">
        <v>4499.86</v>
      </c>
    </row>
    <row r="32">
      <c r="A32" t="inlineStr">
        <is>
          <t>A20</t>
        </is>
      </c>
      <c r="B32" s="235" t="n"/>
      <c r="C32" s="108" t="n">
        <v>20</v>
      </c>
      <c r="D32" s="237" t="n">
        <v>46023</v>
      </c>
      <c r="E32" s="243" t="n">
        <v>0</v>
      </c>
      <c r="F32" s="220" t="inlineStr">
        <is>
          <t>X</t>
        </is>
      </c>
      <c r="G32" s="220" t="inlineStr">
        <is>
          <t>X</t>
        </is>
      </c>
      <c r="H32" s="220" t="inlineStr">
        <is>
          <t>X</t>
        </is>
      </c>
      <c r="I32" s="220" t="inlineStr">
        <is>
          <t>X</t>
        </is>
      </c>
      <c r="J32" s="220" t="inlineStr">
        <is>
          <t>X</t>
        </is>
      </c>
      <c r="K32" s="220" t="inlineStr">
        <is>
          <t>X</t>
        </is>
      </c>
      <c r="L32" s="220" t="inlineStr">
        <is>
          <t>X</t>
        </is>
      </c>
      <c r="M32" s="220" t="inlineStr">
        <is>
          <t>X</t>
        </is>
      </c>
      <c r="N32" s="220" t="inlineStr">
        <is>
          <t>X</t>
        </is>
      </c>
      <c r="O32" s="220" t="inlineStr">
        <is>
          <t>X</t>
        </is>
      </c>
      <c r="P32" s="220" t="inlineStr">
        <is>
          <t>X</t>
        </is>
      </c>
      <c r="Q32" s="220" t="inlineStr">
        <is>
          <t>X</t>
        </is>
      </c>
      <c r="R32" s="220" t="inlineStr">
        <is>
          <t>X</t>
        </is>
      </c>
      <c r="S32" s="220" t="inlineStr">
        <is>
          <t>X</t>
        </is>
      </c>
      <c r="T32" s="220" t="inlineStr">
        <is>
          <t>X</t>
        </is>
      </c>
      <c r="U32" s="220" t="inlineStr">
        <is>
          <t>X</t>
        </is>
      </c>
      <c r="V32" s="220" t="inlineStr">
        <is>
          <t>X</t>
        </is>
      </c>
      <c r="W32" s="220" t="inlineStr">
        <is>
          <t>X</t>
        </is>
      </c>
      <c r="X32" s="220" t="inlineStr">
        <is>
          <t>X</t>
        </is>
      </c>
      <c r="Y32" s="240" t="n">
        <v>157980.98</v>
      </c>
      <c r="Z32" s="247" t="n">
        <v>0</v>
      </c>
      <c r="AA32" s="247" t="n">
        <v>0.2</v>
      </c>
      <c r="AB32" s="243" t="n">
        <v>31596.2</v>
      </c>
      <c r="AC32" s="243" t="n">
        <v>23122.1</v>
      </c>
      <c r="AD32" s="220" t="n">
        <v>0</v>
      </c>
      <c r="AE32" s="243" t="n">
        <v>23122.1</v>
      </c>
    </row>
    <row r="33" ht="74.40000000000001" customHeight="1" s="132">
      <c r="A33" t="inlineStr">
        <is>
          <t>A21</t>
        </is>
      </c>
      <c r="B33" s="236" t="inlineStr">
        <is>
          <t>Zərərlərin baş verməsi rübləri ərzində baş vermiş və zərərlərin ödənilməsi (inkişafı) rübünün sonunadək ödənilmiş zərərlərin məcmu məbləği</t>
        </is>
      </c>
      <c r="C33" s="232" t="n"/>
      <c r="D33" s="112" t="inlineStr">
        <is>
          <t>(Н+1)</t>
        </is>
      </c>
      <c r="E33" s="245" t="n">
        <v>0</v>
      </c>
      <c r="F33" s="245" t="n">
        <v>0</v>
      </c>
      <c r="G33" s="245" t="n">
        <v>38250</v>
      </c>
      <c r="H33" s="245" t="n">
        <v>38250</v>
      </c>
      <c r="I33" s="245" t="n">
        <v>38250</v>
      </c>
      <c r="J33" s="245" t="n">
        <v>38250</v>
      </c>
      <c r="K33" s="245" t="n">
        <v>38250</v>
      </c>
      <c r="L33" s="245" t="n">
        <v>38250</v>
      </c>
      <c r="M33" s="245" t="n">
        <v>38250</v>
      </c>
      <c r="N33" s="245" t="n">
        <v>38250</v>
      </c>
      <c r="O33" s="245" t="n">
        <v>38250</v>
      </c>
      <c r="P33" s="245" t="n">
        <v>38250</v>
      </c>
      <c r="Q33" s="245" t="n">
        <v>38250</v>
      </c>
      <c r="R33" s="245" t="n">
        <v>38250</v>
      </c>
      <c r="S33" s="245" t="n">
        <v>0</v>
      </c>
      <c r="T33" s="245" t="n">
        <v>0</v>
      </c>
      <c r="U33" s="245" t="n">
        <v>0</v>
      </c>
      <c r="V33" s="245" t="n">
        <v>0</v>
      </c>
      <c r="W33" s="245" t="n">
        <v>0</v>
      </c>
      <c r="X33" s="245" t="n">
        <v>0</v>
      </c>
      <c r="Y33" s="111" t="inlineStr">
        <is>
          <t>X</t>
        </is>
      </c>
      <c r="Z33" s="111" t="inlineStr">
        <is>
          <t>X</t>
        </is>
      </c>
      <c r="AA33" s="111" t="inlineStr">
        <is>
          <t>X</t>
        </is>
      </c>
      <c r="AB33" s="111" t="inlineStr">
        <is>
          <t>X</t>
        </is>
      </c>
      <c r="AC33" s="111" t="inlineStr">
        <is>
          <t>X</t>
        </is>
      </c>
      <c r="AD33" s="111" t="inlineStr">
        <is>
          <t>X</t>
        </is>
      </c>
      <c r="AE33" s="111" t="inlineStr">
        <is>
          <t>X</t>
        </is>
      </c>
    </row>
    <row r="34" ht="79.8" customHeight="1" s="132">
      <c r="A34" t="inlineStr">
        <is>
          <t>A22</t>
        </is>
      </c>
      <c r="B34" s="236" t="inlineStr">
        <is>
          <t>Zərərlərin baş verməsi rübləri (axırınçı rüb istisna olmaqla) ərzində baş vermiş və zərərlərin ödənilməsi (inkişafı) rübünün sonunadək ödənilmiş zərərlərin məcmu məbləği</t>
        </is>
      </c>
      <c r="C34" s="232" t="n"/>
      <c r="D34" s="128" t="inlineStr">
        <is>
          <t>(Н+2)</t>
        </is>
      </c>
      <c r="E34" s="243" t="n">
        <v>0</v>
      </c>
      <c r="F34" s="243" t="n">
        <v>0</v>
      </c>
      <c r="G34" s="243" t="n">
        <v>38250</v>
      </c>
      <c r="H34" s="243" t="n">
        <v>38250</v>
      </c>
      <c r="I34" s="243" t="n">
        <v>38250</v>
      </c>
      <c r="J34" s="243" t="n">
        <v>38250</v>
      </c>
      <c r="K34" s="243" t="n">
        <v>38250</v>
      </c>
      <c r="L34" s="243" t="n">
        <v>38250</v>
      </c>
      <c r="M34" s="243" t="n">
        <v>38250</v>
      </c>
      <c r="N34" s="243" t="n">
        <v>38250</v>
      </c>
      <c r="O34" s="243" t="n">
        <v>38250</v>
      </c>
      <c r="P34" s="243" t="n">
        <v>38250</v>
      </c>
      <c r="Q34" s="243" t="n">
        <v>38250</v>
      </c>
      <c r="R34" s="243" t="n">
        <v>0</v>
      </c>
      <c r="S34" s="243" t="n">
        <v>0</v>
      </c>
      <c r="T34" s="243" t="n">
        <v>0</v>
      </c>
      <c r="U34" s="243" t="n">
        <v>0</v>
      </c>
      <c r="V34" s="243" t="n">
        <v>0</v>
      </c>
      <c r="W34" s="243" t="n">
        <v>0</v>
      </c>
      <c r="X34" s="111" t="inlineStr">
        <is>
          <t>X</t>
        </is>
      </c>
      <c r="Y34" s="111" t="inlineStr">
        <is>
          <t>X</t>
        </is>
      </c>
      <c r="Z34" s="111" t="inlineStr">
        <is>
          <t>X</t>
        </is>
      </c>
      <c r="AA34" s="111" t="inlineStr">
        <is>
          <t>X</t>
        </is>
      </c>
      <c r="AB34" s="111" t="inlineStr">
        <is>
          <t>X</t>
        </is>
      </c>
      <c r="AC34" s="111" t="inlineStr">
        <is>
          <t>X</t>
        </is>
      </c>
      <c r="AD34" s="111" t="inlineStr">
        <is>
          <t>X</t>
        </is>
      </c>
      <c r="AE34" s="111" t="inlineStr">
        <is>
          <t>X</t>
        </is>
      </c>
    </row>
    <row r="35" ht="39" customHeight="1" s="132">
      <c r="A35" t="inlineStr">
        <is>
          <t>A23</t>
        </is>
      </c>
      <c r="B35" s="236" t="inlineStr">
        <is>
          <t xml:space="preserve">Zərərlərin inkişafı əmsalları </t>
        </is>
      </c>
      <c r="C35" s="232" t="n"/>
      <c r="D35" s="128" t="inlineStr">
        <is>
          <t>(Н+3)</t>
        </is>
      </c>
      <c r="E35" s="248" t="n">
        <v>3.1683</v>
      </c>
      <c r="F35" s="248" t="n">
        <v>1.0573</v>
      </c>
      <c r="G35" s="248" t="n">
        <v>1.0407</v>
      </c>
      <c r="H35" s="248" t="n">
        <v>1.0334</v>
      </c>
      <c r="I35" s="248" t="n">
        <v>1.0156</v>
      </c>
      <c r="J35" s="248" t="n">
        <v>1.0164</v>
      </c>
      <c r="K35" s="248" t="n">
        <v>1.0025</v>
      </c>
      <c r="L35" s="248" t="n">
        <v>1</v>
      </c>
      <c r="M35" s="248" t="n">
        <v>1</v>
      </c>
      <c r="N35" s="248" t="n">
        <v>1</v>
      </c>
      <c r="O35" s="248" t="n">
        <v>1</v>
      </c>
      <c r="P35" s="248" t="n">
        <v>1</v>
      </c>
      <c r="Q35" s="248" t="n">
        <v>1</v>
      </c>
      <c r="R35" s="248" t="n">
        <v>1</v>
      </c>
      <c r="S35" s="248" t="n">
        <v>1</v>
      </c>
      <c r="T35" s="248" t="n">
        <v>1</v>
      </c>
      <c r="U35" s="248" t="n">
        <v>1</v>
      </c>
      <c r="V35" s="248" t="n">
        <v>1</v>
      </c>
      <c r="W35" s="248" t="n">
        <v>1</v>
      </c>
      <c r="X35" s="111" t="n">
        <v>1</v>
      </c>
      <c r="Y35" s="111" t="inlineStr">
        <is>
          <t>X</t>
        </is>
      </c>
      <c r="Z35" s="111" t="inlineStr">
        <is>
          <t>X</t>
        </is>
      </c>
      <c r="AA35" s="111" t="inlineStr">
        <is>
          <t>X</t>
        </is>
      </c>
      <c r="AB35" s="111" t="inlineStr">
        <is>
          <t>X</t>
        </is>
      </c>
      <c r="AC35" s="111" t="inlineStr">
        <is>
          <t>X</t>
        </is>
      </c>
      <c r="AD35" s="111" t="inlineStr">
        <is>
          <t>X</t>
        </is>
      </c>
      <c r="AE35" s="111" t="inlineStr">
        <is>
          <t>X</t>
        </is>
      </c>
    </row>
    <row r="36" ht="40.5" customHeight="1" s="132">
      <c r="A36" t="inlineStr">
        <is>
          <t>A24</t>
        </is>
      </c>
      <c r="B36" s="236" t="inlineStr">
        <is>
          <t xml:space="preserve">Zərərlərin inkişafı amilləri </t>
        </is>
      </c>
      <c r="C36" s="232" t="n"/>
      <c r="D36" s="128" t="inlineStr">
        <is>
          <t>(Н+4)</t>
        </is>
      </c>
      <c r="E36" s="248" t="n">
        <v>3.7281</v>
      </c>
      <c r="F36" s="248" t="n">
        <v>1.1767</v>
      </c>
      <c r="G36" s="248" t="n">
        <v>1.1129</v>
      </c>
      <c r="H36" s="248" t="n">
        <v>1.0694</v>
      </c>
      <c r="I36" s="248" t="n">
        <v>1.0348</v>
      </c>
      <c r="J36" s="248" t="n">
        <v>1.0189</v>
      </c>
      <c r="K36" s="248" t="n">
        <v>1.0025</v>
      </c>
      <c r="L36" s="248" t="n">
        <v>1</v>
      </c>
      <c r="M36" s="248" t="n">
        <v>1</v>
      </c>
      <c r="N36" s="248" t="n">
        <v>1</v>
      </c>
      <c r="O36" s="248" t="n">
        <v>1</v>
      </c>
      <c r="P36" s="248" t="n">
        <v>1</v>
      </c>
      <c r="Q36" s="248" t="n">
        <v>1</v>
      </c>
      <c r="R36" s="248" t="n">
        <v>1</v>
      </c>
      <c r="S36" s="248" t="n">
        <v>1</v>
      </c>
      <c r="T36" s="248" t="n">
        <v>1</v>
      </c>
      <c r="U36" s="248" t="n">
        <v>1</v>
      </c>
      <c r="V36" s="248" t="n">
        <v>1</v>
      </c>
      <c r="W36" s="248" t="n">
        <v>1</v>
      </c>
      <c r="X36" s="111" t="n">
        <v>1</v>
      </c>
      <c r="Y36" s="111" t="inlineStr">
        <is>
          <t>X</t>
        </is>
      </c>
      <c r="Z36" s="111" t="inlineStr">
        <is>
          <t>X</t>
        </is>
      </c>
      <c r="AA36" s="111" t="inlineStr">
        <is>
          <t>X</t>
        </is>
      </c>
      <c r="AB36" s="111" t="inlineStr">
        <is>
          <t>X</t>
        </is>
      </c>
      <c r="AC36" s="111" t="inlineStr">
        <is>
          <t>X</t>
        </is>
      </c>
      <c r="AD36" s="111" t="inlineStr">
        <is>
          <t>X</t>
        </is>
      </c>
      <c r="AE36" s="111" t="inlineStr">
        <is>
          <t>X</t>
        </is>
      </c>
    </row>
    <row r="37" ht="27.75" customHeight="1" s="132">
      <c r="A37" t="inlineStr">
        <is>
          <t>A25</t>
        </is>
      </c>
      <c r="B37" s="236" t="inlineStr">
        <is>
          <t>Geçikmə amilləri</t>
        </is>
      </c>
      <c r="C37" s="232" t="n"/>
      <c r="D37" s="128" t="inlineStr">
        <is>
          <t>(Н+5)</t>
        </is>
      </c>
      <c r="E37" s="248" t="n">
        <v>0.2682</v>
      </c>
      <c r="F37" s="248" t="n">
        <v>0.8498</v>
      </c>
      <c r="G37" s="248" t="n">
        <v>0.8986</v>
      </c>
      <c r="H37" s="248" t="n">
        <v>0.9351</v>
      </c>
      <c r="I37" s="248" t="n">
        <v>0.9664</v>
      </c>
      <c r="J37" s="248" t="n">
        <v>0.9815</v>
      </c>
      <c r="K37" s="248" t="n">
        <v>0.9975000000000001</v>
      </c>
      <c r="L37" s="248" t="n">
        <v>1</v>
      </c>
      <c r="M37" s="248" t="n">
        <v>1</v>
      </c>
      <c r="N37" s="248" t="n">
        <v>1</v>
      </c>
      <c r="O37" s="248" t="n">
        <v>1</v>
      </c>
      <c r="P37" s="248" t="n">
        <v>1</v>
      </c>
      <c r="Q37" s="248" t="n">
        <v>1</v>
      </c>
      <c r="R37" s="248" t="n">
        <v>1</v>
      </c>
      <c r="S37" s="248" t="n">
        <v>1</v>
      </c>
      <c r="T37" s="248" t="n">
        <v>1</v>
      </c>
      <c r="U37" s="248" t="n">
        <v>1</v>
      </c>
      <c r="V37" s="248" t="n">
        <v>1</v>
      </c>
      <c r="W37" s="248" t="n">
        <v>1</v>
      </c>
      <c r="X37" s="111" t="n">
        <v>1</v>
      </c>
      <c r="Y37" s="111" t="inlineStr">
        <is>
          <t>X</t>
        </is>
      </c>
      <c r="Z37" s="111" t="inlineStr">
        <is>
          <t>X</t>
        </is>
      </c>
      <c r="AA37" s="111" t="inlineStr">
        <is>
          <t>X</t>
        </is>
      </c>
      <c r="AB37" s="111" t="inlineStr">
        <is>
          <t>X</t>
        </is>
      </c>
      <c r="AC37" s="111" t="inlineStr">
        <is>
          <t>X</t>
        </is>
      </c>
      <c r="AD37" s="111" t="inlineStr">
        <is>
          <t>X</t>
        </is>
      </c>
      <c r="AE37" s="111" t="inlineStr">
        <is>
          <t>X</t>
        </is>
      </c>
    </row>
    <row r="38" ht="43.5" customHeight="1" s="132">
      <c r="A38" t="inlineStr">
        <is>
          <t>A26</t>
        </is>
      </c>
      <c r="B38" s="236" t="inlineStr">
        <is>
          <t>Baş vermiş, lakin bildirilməmiş zərərlərin məbləği</t>
        </is>
      </c>
      <c r="C38" s="232" t="n"/>
      <c r="D38" s="128" t="inlineStr">
        <is>
          <t>(Н+6)</t>
        </is>
      </c>
      <c r="E38" s="111" t="inlineStr">
        <is>
          <t>X</t>
        </is>
      </c>
      <c r="F38" s="111" t="inlineStr">
        <is>
          <t>X</t>
        </is>
      </c>
      <c r="G38" s="111" t="inlineStr">
        <is>
          <t>X</t>
        </is>
      </c>
      <c r="H38" s="111" t="inlineStr">
        <is>
          <t>X</t>
        </is>
      </c>
      <c r="I38" s="111" t="inlineStr">
        <is>
          <t>X</t>
        </is>
      </c>
      <c r="J38" s="111" t="inlineStr">
        <is>
          <t>X</t>
        </is>
      </c>
      <c r="K38" s="111" t="inlineStr">
        <is>
          <t>X</t>
        </is>
      </c>
      <c r="L38" s="111" t="inlineStr">
        <is>
          <t>X</t>
        </is>
      </c>
      <c r="M38" s="111" t="inlineStr">
        <is>
          <t>X</t>
        </is>
      </c>
      <c r="N38" s="111" t="inlineStr">
        <is>
          <t>X</t>
        </is>
      </c>
      <c r="O38" s="111" t="inlineStr">
        <is>
          <t>X</t>
        </is>
      </c>
      <c r="P38" s="111" t="inlineStr">
        <is>
          <t>X</t>
        </is>
      </c>
      <c r="Q38" s="111" t="inlineStr">
        <is>
          <t>X</t>
        </is>
      </c>
      <c r="R38" s="111" t="inlineStr">
        <is>
          <t>X</t>
        </is>
      </c>
      <c r="S38" s="111" t="inlineStr">
        <is>
          <t>X</t>
        </is>
      </c>
      <c r="T38" s="111" t="inlineStr">
        <is>
          <t>X</t>
        </is>
      </c>
      <c r="U38" s="111" t="inlineStr">
        <is>
          <t>X</t>
        </is>
      </c>
      <c r="V38" s="111" t="inlineStr">
        <is>
          <t>X</t>
        </is>
      </c>
      <c r="W38" s="111" t="inlineStr">
        <is>
          <t>X</t>
        </is>
      </c>
      <c r="X38" s="111" t="inlineStr">
        <is>
          <t>X</t>
        </is>
      </c>
      <c r="Y38" s="111" t="inlineStr">
        <is>
          <t>X</t>
        </is>
      </c>
      <c r="Z38" s="111" t="inlineStr">
        <is>
          <t>X</t>
        </is>
      </c>
      <c r="AA38" s="111" t="inlineStr">
        <is>
          <t>X</t>
        </is>
      </c>
      <c r="AB38" s="111" t="inlineStr">
        <is>
          <t>X</t>
        </is>
      </c>
      <c r="AC38" s="111" t="inlineStr">
        <is>
          <t>X</t>
        </is>
      </c>
      <c r="AD38" s="111" t="inlineStr">
        <is>
          <t>X</t>
        </is>
      </c>
      <c r="AE38" s="245" t="n">
        <v>32331.19</v>
      </c>
    </row>
    <row r="39" ht="42.75" customHeight="1" s="132">
      <c r="A39" t="inlineStr">
        <is>
          <t>A27</t>
        </is>
      </c>
      <c r="B39" s="236" t="inlineStr">
        <is>
          <t>BVBZE-də təkrarsığortaçıların payının üçbucaq metodu ilə hesblanmış məbləği</t>
        </is>
      </c>
      <c r="C39" s="232" t="n"/>
      <c r="D39" s="128" t="inlineStr">
        <is>
          <t>(Н+7)</t>
        </is>
      </c>
      <c r="E39" s="111" t="inlineStr">
        <is>
          <t>X</t>
        </is>
      </c>
      <c r="F39" s="111" t="inlineStr">
        <is>
          <t>X</t>
        </is>
      </c>
      <c r="G39" s="111" t="inlineStr">
        <is>
          <t>X</t>
        </is>
      </c>
      <c r="H39" s="111" t="inlineStr">
        <is>
          <t>X</t>
        </is>
      </c>
      <c r="I39" s="111" t="inlineStr">
        <is>
          <t>X</t>
        </is>
      </c>
      <c r="J39" s="111" t="inlineStr">
        <is>
          <t>X</t>
        </is>
      </c>
      <c r="K39" s="111" t="inlineStr">
        <is>
          <t>X</t>
        </is>
      </c>
      <c r="L39" s="111" t="inlineStr">
        <is>
          <t>X</t>
        </is>
      </c>
      <c r="M39" s="111" t="inlineStr">
        <is>
          <t>X</t>
        </is>
      </c>
      <c r="N39" s="111" t="inlineStr">
        <is>
          <t>X</t>
        </is>
      </c>
      <c r="O39" s="111" t="inlineStr">
        <is>
          <t>X</t>
        </is>
      </c>
      <c r="P39" s="111" t="inlineStr">
        <is>
          <t>X</t>
        </is>
      </c>
      <c r="Q39" s="111" t="inlineStr">
        <is>
          <t>X</t>
        </is>
      </c>
      <c r="R39" s="111" t="inlineStr">
        <is>
          <t>X</t>
        </is>
      </c>
      <c r="S39" s="111" t="inlineStr">
        <is>
          <t>X</t>
        </is>
      </c>
      <c r="T39" s="111" t="inlineStr">
        <is>
          <t>X</t>
        </is>
      </c>
      <c r="U39" s="111" t="inlineStr">
        <is>
          <t>X</t>
        </is>
      </c>
      <c r="V39" s="111" t="inlineStr">
        <is>
          <t>X</t>
        </is>
      </c>
      <c r="W39" s="111" t="inlineStr">
        <is>
          <t>X</t>
        </is>
      </c>
      <c r="X39" s="111" t="inlineStr">
        <is>
          <t>X</t>
        </is>
      </c>
      <c r="Y39" s="111" t="inlineStr">
        <is>
          <t>X</t>
        </is>
      </c>
      <c r="Z39" s="111" t="inlineStr">
        <is>
          <t>X</t>
        </is>
      </c>
      <c r="AA39" s="111" t="inlineStr">
        <is>
          <t>X</t>
        </is>
      </c>
      <c r="AB39" s="111" t="inlineStr">
        <is>
          <t>X</t>
        </is>
      </c>
      <c r="AC39" s="111" t="inlineStr">
        <is>
          <t>X</t>
        </is>
      </c>
      <c r="AD39" s="111" t="inlineStr">
        <is>
          <t>X</t>
        </is>
      </c>
      <c r="AE39" s="245" t="n">
        <v>33301.13</v>
      </c>
    </row>
    <row r="40" ht="34.5" customHeight="1" s="132">
      <c r="B40" s="114" t="inlineStr">
        <is>
          <t>QEYD: 1. x(i,j) məbləğləri "Zərərlərin uçotu" jurnalına əsasən hesablanır. 2. Kodu N+6 olan sətir üzrə (N+9)-cu sütunda baş vermiş, lakin bildirilməmiş zərərlərin məcmu məbləği göstərilir. 3. Kodu N+7 olan sətir üzrə (N+9)-cu sütunda baş vermiş, lakin bildirilməmiş zərərlərin məcmu məbləğinin 1,03-ə vurulmasından alınan məbləğ göstərilir.</t>
        </is>
      </c>
      <c r="C40" s="120" t="n"/>
      <c r="D40" s="129" t="n"/>
      <c r="E40" s="120" t="n"/>
      <c r="F40" s="181" t="n"/>
      <c r="G40" s="181" t="n"/>
      <c r="H40" s="181" t="n"/>
      <c r="I40" s="181" t="n"/>
      <c r="J40" s="181" t="n"/>
      <c r="K40" s="181" t="n"/>
      <c r="L40" s="181" t="n"/>
      <c r="M40" s="181" t="n"/>
      <c r="N40" s="181" t="n"/>
      <c r="O40" s="181" t="n"/>
      <c r="P40" s="181" t="n"/>
      <c r="Q40" s="181" t="n"/>
      <c r="R40" s="181" t="n"/>
      <c r="S40" s="181" t="n"/>
      <c r="T40" s="181" t="n"/>
      <c r="U40" s="181" t="n"/>
      <c r="V40" s="181" t="n"/>
      <c r="W40" s="181" t="n"/>
      <c r="X40" s="181" t="n"/>
      <c r="Y40" s="181" t="n"/>
      <c r="Z40" s="181" t="n"/>
      <c r="AA40" s="181" t="n"/>
      <c r="AB40" s="181" t="n"/>
      <c r="AC40" s="181" t="n"/>
      <c r="AD40" s="181" t="n"/>
      <c r="AE40" s="181" t="n"/>
    </row>
    <row r="41" ht="23.25" customHeight="1" s="132">
      <c r="B41" s="116" t="inlineStr">
        <is>
          <t xml:space="preserve">          İdarə heyətinin sədri ______________</t>
        </is>
      </c>
      <c r="C41" s="117" t="n"/>
      <c r="D41" s="122" t="n"/>
      <c r="E41" s="98" t="n"/>
      <c r="F41" s="118" t="n"/>
      <c r="G41" s="118" t="n"/>
      <c r="H41" s="118" t="n"/>
      <c r="I41" s="118" t="n"/>
      <c r="J41" s="118" t="n"/>
      <c r="K41" s="118" t="n"/>
      <c r="L41" s="118" t="n"/>
      <c r="M41" s="118" t="n"/>
      <c r="N41" s="118" t="n"/>
      <c r="O41" s="118" t="n"/>
      <c r="P41" s="118" t="n"/>
      <c r="Q41" s="118" t="n"/>
      <c r="R41" s="118" t="n"/>
      <c r="S41" s="118" t="n"/>
      <c r="T41" s="118" t="n"/>
      <c r="U41" s="118" t="inlineStr">
        <is>
          <t>M.Y.</t>
        </is>
      </c>
      <c r="V41" s="98" t="n"/>
      <c r="W41" s="119" t="n"/>
      <c r="X41" s="119" t="inlineStr">
        <is>
          <t xml:space="preserve">          Baş mühasib ____________________ </t>
        </is>
      </c>
      <c r="Y41" s="119" t="n"/>
      <c r="Z41" s="119" t="n"/>
      <c r="AA41" s="119" t="n"/>
      <c r="AB41" s="119" t="n"/>
      <c r="AC41" s="119" t="n"/>
      <c r="AD41" s="119" t="n"/>
      <c r="AE41" s="119" t="n"/>
    </row>
    <row r="42">
      <c r="B42" s="130" t="n"/>
      <c r="C42" s="130" t="n"/>
      <c r="D42" s="130" t="n"/>
      <c r="E42" s="130" t="n"/>
      <c r="F42" s="130" t="n"/>
      <c r="G42" s="130" t="n"/>
      <c r="H42" s="130" t="n"/>
      <c r="I42" s="130" t="n"/>
      <c r="J42" s="130" t="n"/>
      <c r="K42" s="130" t="n"/>
      <c r="L42" s="130" t="n"/>
      <c r="M42" s="130" t="n"/>
      <c r="N42" s="130" t="n"/>
      <c r="O42" s="130" t="n"/>
      <c r="P42" s="130" t="n"/>
      <c r="Q42" s="130" t="n"/>
      <c r="R42" s="130" t="n"/>
      <c r="S42" s="130" t="n"/>
      <c r="T42" s="130" t="n"/>
      <c r="U42" s="130" t="n"/>
      <c r="V42" s="130" t="n"/>
      <c r="W42" s="130" t="n"/>
      <c r="X42" s="130" t="n"/>
      <c r="Y42" s="130" t="n"/>
      <c r="Z42" s="130" t="n"/>
      <c r="AA42" s="130" t="n"/>
      <c r="AB42" s="130" t="n"/>
      <c r="AC42" s="130" t="n"/>
      <c r="AD42" s="130" t="n"/>
      <c r="AE42" s="130" t="n"/>
    </row>
    <row r="43">
      <c r="B43" s="130" t="n"/>
      <c r="C43" s="130" t="n"/>
      <c r="D43" s="130" t="n"/>
      <c r="E43" s="130" t="n"/>
      <c r="F43" s="130" t="n"/>
      <c r="G43" s="130" t="n"/>
      <c r="H43" s="130" t="n"/>
      <c r="I43" s="130" t="n"/>
      <c r="J43" s="130" t="n"/>
      <c r="K43" s="130" t="n"/>
      <c r="L43" s="130" t="n"/>
      <c r="M43" s="130" t="n"/>
      <c r="N43" s="130" t="n"/>
      <c r="O43" s="130" t="n"/>
      <c r="P43" s="130" t="n"/>
      <c r="Q43" s="130" t="n"/>
      <c r="R43" s="130" t="n"/>
      <c r="S43" s="130" t="n"/>
      <c r="T43" s="130" t="n"/>
      <c r="U43" s="130" t="n"/>
      <c r="V43" s="130" t="n"/>
      <c r="W43" s="130" t="n"/>
      <c r="X43" s="130" t="n"/>
      <c r="Y43" s="130" t="n"/>
      <c r="Z43" s="130" t="n"/>
      <c r="AA43" s="130" t="n"/>
      <c r="AB43" s="130" t="n"/>
      <c r="AC43" s="130" t="n"/>
      <c r="AD43" s="130" t="n"/>
      <c r="AE43" s="130" t="n"/>
    </row>
    <row r="44">
      <c r="B44" s="130" t="n"/>
      <c r="C44" s="130" t="n"/>
      <c r="D44" s="130" t="n"/>
      <c r="E44" s="130" t="n"/>
      <c r="F44" s="130" t="n"/>
      <c r="G44" s="130" t="n"/>
      <c r="H44" s="130" t="n"/>
      <c r="I44" s="130" t="n"/>
      <c r="J44" s="130" t="n"/>
      <c r="K44" s="130" t="n"/>
      <c r="L44" s="130" t="n"/>
      <c r="M44" s="130" t="n"/>
      <c r="N44" s="130" t="n"/>
      <c r="O44" s="130" t="n"/>
      <c r="P44" s="130" t="n"/>
      <c r="Q44" s="130" t="n"/>
      <c r="R44" s="130" t="n"/>
      <c r="S44" s="130" t="n"/>
      <c r="T44" s="130" t="n"/>
      <c r="U44" s="130" t="n"/>
      <c r="V44" s="130" t="n"/>
      <c r="W44" s="130" t="n"/>
      <c r="X44" s="130" t="n"/>
      <c r="Y44" s="130" t="n"/>
      <c r="Z44" s="130" t="n"/>
      <c r="AA44" s="130" t="n"/>
      <c r="AB44" s="130" t="n"/>
      <c r="AC44" s="130" t="n"/>
      <c r="AD44" s="130" t="n"/>
      <c r="AE44" s="130" t="n"/>
    </row>
  </sheetData>
  <mergeCells count="24">
    <mergeCell ref="AD10:AD11"/>
    <mergeCell ref="B10:C11"/>
    <mergeCell ref="B12:C12"/>
    <mergeCell ref="B39:C39"/>
    <mergeCell ref="B13:B32"/>
    <mergeCell ref="Y10:Y11"/>
    <mergeCell ref="B2:C2"/>
    <mergeCell ref="AC10:AC11"/>
    <mergeCell ref="E1:U1"/>
    <mergeCell ref="E10:X10"/>
    <mergeCell ref="AE10:AE11"/>
    <mergeCell ref="B38:C38"/>
    <mergeCell ref="Z10:Z11"/>
    <mergeCell ref="B37:C37"/>
    <mergeCell ref="B34:C34"/>
    <mergeCell ref="B5:AE5"/>
    <mergeCell ref="AB1:AE1"/>
    <mergeCell ref="AB10:AB11"/>
    <mergeCell ref="D10:D11"/>
    <mergeCell ref="B33:C33"/>
    <mergeCell ref="B3:AE3"/>
    <mergeCell ref="B36:C36"/>
    <mergeCell ref="B35:C35"/>
    <mergeCell ref="AA10:AA11"/>
  </mergeCell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E25"/>
  <sheetViews>
    <sheetView workbookViewId="0">
      <selection activeCell="D7" sqref="D7"/>
    </sheetView>
  </sheetViews>
  <sheetFormatPr baseColWidth="8" defaultRowHeight="14.4"/>
  <cols>
    <col width="8.88671875" customWidth="1" style="132" min="1" max="1"/>
    <col width="8" customWidth="1" style="132" min="2" max="2"/>
    <col width="61.21875" customWidth="1" style="132" min="3" max="3"/>
    <col width="18.21875" customWidth="1" style="132" min="4" max="5"/>
    <col width="8.88671875" customWidth="1" style="132" min="6" max="16384"/>
  </cols>
  <sheetData>
    <row r="1" ht="46.2" customHeight="1" s="132">
      <c r="B1" s="27" t="n"/>
      <c r="C1" s="27" t="n"/>
      <c r="D1" s="174" t="inlineStr">
        <is>
          <t>«Həyat sığortası və qeyri-həyat sığortası
üzrə sığorta ehtiyatlarının formalaşdırılması Qaydaları»na Əlavə № 3</t>
        </is>
      </c>
    </row>
    <row r="2" ht="18" customHeight="1" s="132">
      <c r="B2" s="27" t="n"/>
      <c r="C2" s="139" t="inlineStr">
        <is>
          <t>Forma № 8-9</t>
        </is>
      </c>
      <c r="D2" s="130" t="n"/>
      <c r="E2" s="130" t="n"/>
    </row>
    <row r="3" ht="40.8" customHeight="1" s="132">
      <c r="B3" s="27" t="n"/>
      <c r="C3" s="179" t="inlineStr">
        <is>
          <t>Baş vermiş, lakin bildirilməmiş zərərlər ehtiyatı</t>
        </is>
      </c>
      <c r="D3" s="27" t="n"/>
      <c r="E3" s="200" t="n"/>
    </row>
    <row r="4" ht="20.4" customHeight="1" s="132">
      <c r="C4" s="176" t="inlineStr">
        <is>
          <t>Ateshgah</t>
        </is>
      </c>
      <c r="D4" s="170" t="n"/>
      <c r="E4" s="170" t="n"/>
    </row>
    <row r="5" ht="17.4" customHeight="1" s="132">
      <c r="C5" s="177" t="inlineStr">
        <is>
          <t xml:space="preserve">    (sığortaçının (təkrarsığortaçının)  adı)</t>
        </is>
      </c>
      <c r="D5" s="101" t="n"/>
      <c r="E5" s="101" t="n"/>
    </row>
    <row r="6" ht="17.4" customHeight="1" s="132">
      <c r="C6" s="171" t="n"/>
      <c r="D6" s="12" t="inlineStr">
        <is>
          <t>01.01.2026</t>
        </is>
      </c>
      <c r="E6" s="11" t="inlineStr">
        <is>
          <t xml:space="preserve"> -cı il  tarixə</t>
        </is>
      </c>
    </row>
    <row r="7" ht="17.4" customHeight="1" s="132">
      <c r="B7" s="11" t="n"/>
    </row>
    <row r="8" ht="18" customHeight="1" s="132">
      <c r="B8" s="14" t="inlineStr">
        <is>
          <t>Sığortanın sinifi ____________________________</t>
        </is>
      </c>
      <c r="C8" s="219" t="inlineStr">
        <is>
          <t>(21)UmumiMulkiMesuliyy</t>
        </is>
      </c>
      <c r="D8" s="13" t="n"/>
      <c r="E8" s="13" t="n"/>
    </row>
    <row r="9" ht="17.4" customHeight="1" s="132">
      <c r="D9" s="13" t="n"/>
      <c r="E9" s="13" t="n"/>
    </row>
    <row r="10" ht="18" customHeight="1" s="132">
      <c r="B10" s="71" t="n"/>
      <c r="C10" s="71" t="n"/>
      <c r="D10" s="71" t="n"/>
      <c r="E10" s="71" t="n"/>
    </row>
    <row r="11" ht="34.8" customHeight="1" s="132">
      <c r="B11" s="17" t="inlineStr">
        <is>
          <t>Sıra №-si</t>
        </is>
      </c>
      <c r="C11" s="17" t="inlineStr">
        <is>
          <t>Göstəriciləri adı</t>
        </is>
      </c>
      <c r="D11" s="17" t="inlineStr">
        <is>
          <t>Sətrin kodu</t>
        </is>
      </c>
      <c r="E11" s="17" t="inlineStr">
        <is>
          <t>Məbləğ</t>
        </is>
      </c>
    </row>
    <row r="12" ht="17.4" customHeight="1" s="132">
      <c r="B12" s="140" t="inlineStr">
        <is>
          <t>I</t>
        </is>
      </c>
      <c r="C12" s="140" t="inlineStr">
        <is>
          <t>II</t>
        </is>
      </c>
      <c r="D12" s="140" t="inlineStr">
        <is>
          <t>III</t>
        </is>
      </c>
      <c r="E12" s="140" t="inlineStr">
        <is>
          <t>IV</t>
        </is>
      </c>
    </row>
    <row r="13" ht="36" customHeight="1" s="132">
      <c r="A13" t="inlineStr">
        <is>
          <t>A1</t>
        </is>
      </c>
      <c r="B13" s="141" t="n">
        <v>1</v>
      </c>
      <c r="C13" s="142" t="inlineStr">
        <is>
          <t>Hesabat tarixinə BVBZE-nin üçbucaq metodu ilə hesablanmış məbləği</t>
        </is>
      </c>
      <c r="D13" s="143" t="n">
        <v>1000</v>
      </c>
      <c r="E13" s="245" t="n">
        <v>80285.12</v>
      </c>
    </row>
    <row r="14" ht="18" customHeight="1" s="132">
      <c r="A14" t="inlineStr">
        <is>
          <t>A2</t>
        </is>
      </c>
      <c r="B14" s="144" t="n">
        <v>2</v>
      </c>
      <c r="C14" s="145" t="inlineStr">
        <is>
          <t>Hesabat tarixinə BTZE-nin 25 %-i</t>
        </is>
      </c>
      <c r="D14" s="146" t="n">
        <v>1100</v>
      </c>
      <c r="E14" s="243" t="n">
        <v>6194.6</v>
      </c>
    </row>
    <row r="15" ht="36" customHeight="1" s="132">
      <c r="A15" t="inlineStr">
        <is>
          <t>A3</t>
        </is>
      </c>
      <c r="B15" s="141" t="n">
        <v>3</v>
      </c>
      <c r="C15" s="142" t="inlineStr">
        <is>
          <t>Hesabat tarixindən əvvəlki dörd rüb ərzində qazanılmış məcmu sığorta haqlarının 2,5 %-i</t>
        </is>
      </c>
      <c r="D15" s="29" t="n">
        <v>1200</v>
      </c>
      <c r="E15" s="243" t="n">
        <v>27258.26</v>
      </c>
    </row>
    <row r="16" ht="36" customHeight="1" s="132">
      <c r="A16" t="inlineStr">
        <is>
          <t>A4</t>
        </is>
      </c>
      <c r="B16" s="141" t="n">
        <v>4</v>
      </c>
      <c r="C16" s="142" t="inlineStr">
        <is>
          <t>Hesabat tarixinə BVBZE ("1000", "1100" və "1200"-dən böyük olanı)</t>
        </is>
      </c>
      <c r="D16" s="29" t="n">
        <v>1300</v>
      </c>
      <c r="E16" s="245" t="n">
        <v>80285.12</v>
      </c>
    </row>
    <row r="18" ht="76.8" customHeight="1" s="132">
      <c r="B18" s="213" t="inlineStr">
        <is>
          <t>Qeyd:                                                                                                                                                                                                             1. Kodu 1000 olan sətirdə 8-8 №-li Formanın yekun məbləği göstərilir.                                                                                                                                                                                                                                                          2. Kodu 1100 olan sətirdə 8-3 №-li Formanın yekun məbləğinin 25%-i göstərilir.                                                                                                                                                                                                               3. Kodu 1200 olan sətirdə 8-7 №-li Forma üzrə sonuncu 4 rüb ərzində qazanılmış məcmu sığorta haqlarının 5%-i göstərilir.</t>
        </is>
      </c>
    </row>
    <row r="19" ht="15.6" customHeight="1" s="132">
      <c r="B19" s="172" t="inlineStr">
        <is>
          <t>İdarə heyətinin sədri ____________________________       _____________</t>
        </is>
      </c>
    </row>
    <row r="20">
      <c r="B20" s="173" t="inlineStr">
        <is>
          <t xml:space="preserve">                                     (s.a.a)                                     (imza)</t>
        </is>
      </c>
    </row>
    <row r="21" ht="15.6" customHeight="1" s="132">
      <c r="B21" s="24" t="n"/>
      <c r="C21" s="130" t="n"/>
      <c r="D21" s="130" t="n"/>
      <c r="E21" s="130" t="n"/>
    </row>
    <row r="22" ht="15.6" customHeight="1" s="132">
      <c r="B22" s="172" t="inlineStr">
        <is>
          <t>Baş mühasib _______________________       _____________</t>
        </is>
      </c>
    </row>
    <row r="23">
      <c r="B23" s="173" t="inlineStr">
        <is>
          <t xml:space="preserve">                                    (s.a.a)                                      (imza)</t>
        </is>
      </c>
    </row>
    <row r="24" ht="18" customHeight="1" s="132">
      <c r="B24" s="130" t="n"/>
      <c r="C24" s="27" t="n"/>
      <c r="D24" s="26" t="inlineStr">
        <is>
          <t>M.Y.</t>
        </is>
      </c>
      <c r="E24" s="27" t="n"/>
    </row>
    <row r="25">
      <c r="B25" s="130" t="n"/>
      <c r="C25" s="130" t="n"/>
      <c r="D25" s="130" t="n"/>
      <c r="E25" s="130" t="n"/>
    </row>
  </sheetData>
  <mergeCells count="6">
    <mergeCell ref="B23:E23"/>
    <mergeCell ref="B18:E18"/>
    <mergeCell ref="D1:E1"/>
    <mergeCell ref="B19:E19"/>
    <mergeCell ref="B20:E20"/>
    <mergeCell ref="B22:E22"/>
  </mergeCell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E25"/>
  <sheetViews>
    <sheetView tabSelected="1" workbookViewId="0">
      <selection activeCell="D8" sqref="D8"/>
    </sheetView>
  </sheetViews>
  <sheetFormatPr baseColWidth="8" defaultRowHeight="14.4"/>
  <cols>
    <col width="8.88671875" customWidth="1" style="132" min="1" max="1"/>
    <col width="8" customWidth="1" style="132" min="2" max="2"/>
    <col width="61.21875" customWidth="1" style="132" min="3" max="3"/>
    <col width="18.21875" customWidth="1" style="132" min="4" max="5"/>
    <col width="8.88671875" customWidth="1" style="132" min="6" max="16384"/>
  </cols>
  <sheetData>
    <row r="1" ht="46.2" customHeight="1" s="132">
      <c r="B1" s="27" t="n"/>
      <c r="C1" s="27" t="n"/>
      <c r="D1" s="174" t="inlineStr">
        <is>
          <t>«Həyat sığortası və qeyri-həyat sığortası
üzrə sığorta ehtiyatlarının formalaşdırılması Qaydaları»na Əlavə № 3</t>
        </is>
      </c>
    </row>
    <row r="2" ht="18" customHeight="1" s="132">
      <c r="B2" s="27" t="inlineStr">
        <is>
          <t>Forma № 8-13</t>
        </is>
      </c>
      <c r="C2" s="139" t="n"/>
      <c r="D2" s="130" t="n"/>
      <c r="E2" s="130" t="n"/>
    </row>
    <row r="3" ht="40.8" customHeight="1" s="132">
      <c r="B3" s="27" t="n"/>
      <c r="C3" s="179" t="inlineStr">
        <is>
          <t>Baş vermiş, lakin bildirilməmiş zərərlər ehtiyatında təkrarsığortaçıların payı</t>
        </is>
      </c>
      <c r="D3" s="27" t="n"/>
      <c r="E3" s="200" t="n"/>
    </row>
    <row r="4" ht="20.4" customHeight="1" s="132">
      <c r="C4" s="176" t="inlineStr">
        <is>
          <t>Ateshgah</t>
        </is>
      </c>
      <c r="D4" s="170" t="n"/>
      <c r="E4" s="170" t="n"/>
    </row>
    <row r="5" ht="17.4" customHeight="1" s="132">
      <c r="C5" s="177" t="inlineStr">
        <is>
          <t xml:space="preserve">    (sığortaçının (təkrarsığortaçının)  adı)</t>
        </is>
      </c>
      <c r="D5" s="101" t="n"/>
      <c r="E5" s="101" t="n"/>
    </row>
    <row r="6" ht="17.4" customHeight="1" s="132">
      <c r="D6" s="12" t="inlineStr">
        <is>
          <t>01.01.2026</t>
        </is>
      </c>
      <c r="E6" s="11" t="inlineStr">
        <is>
          <t xml:space="preserve"> -cı il  tarixə</t>
        </is>
      </c>
    </row>
    <row r="7" ht="17.4" customHeight="1" s="132">
      <c r="B7" s="11" t="n"/>
    </row>
    <row r="8" ht="18" customHeight="1" s="132">
      <c r="B8" s="14" t="inlineStr">
        <is>
          <t>Sığortanın sinifi ____________________________</t>
        </is>
      </c>
      <c r="C8" s="219" t="inlineStr">
        <is>
          <t>(21)UmumiMulkiMesuliyy</t>
        </is>
      </c>
      <c r="D8" s="13" t="n"/>
      <c r="E8" s="13" t="n"/>
    </row>
    <row r="9" ht="17.4" customHeight="1" s="132">
      <c r="D9" s="13" t="n"/>
      <c r="E9" s="13" t="n"/>
    </row>
    <row r="10" ht="18" customHeight="1" s="132">
      <c r="B10" s="71" t="n"/>
      <c r="C10" s="71" t="n"/>
      <c r="D10" s="71" t="n"/>
      <c r="E10" s="71" t="n"/>
    </row>
    <row r="11" ht="34.8" customHeight="1" s="132">
      <c r="B11" s="17" t="inlineStr">
        <is>
          <t>Sıra №-si</t>
        </is>
      </c>
      <c r="C11" s="17" t="inlineStr">
        <is>
          <t>Göstəriciləri adı</t>
        </is>
      </c>
      <c r="D11" s="17" t="inlineStr">
        <is>
          <t>Sətrin kodu</t>
        </is>
      </c>
      <c r="E11" s="17" t="inlineStr">
        <is>
          <t>Məbləğ</t>
        </is>
      </c>
    </row>
    <row r="12" ht="17.4" customHeight="1" s="132">
      <c r="B12" s="140" t="inlineStr">
        <is>
          <t>I</t>
        </is>
      </c>
      <c r="C12" s="140" t="inlineStr">
        <is>
          <t>II</t>
        </is>
      </c>
      <c r="D12" s="140" t="inlineStr">
        <is>
          <t>III</t>
        </is>
      </c>
      <c r="E12" s="140" t="inlineStr">
        <is>
          <t>IV</t>
        </is>
      </c>
    </row>
    <row r="13" ht="36" customHeight="1" s="132">
      <c r="A13" t="inlineStr">
        <is>
          <t>A1</t>
        </is>
      </c>
      <c r="B13" s="141" t="n">
        <v>1</v>
      </c>
      <c r="C13" s="142" t="inlineStr">
        <is>
          <t>Hesabat tarixinə BVBZE-nin üçbucaq metodu ilə hesablanmış məbləği</t>
        </is>
      </c>
      <c r="D13" s="143" t="n">
        <v>2000</v>
      </c>
      <c r="E13" s="245" t="n">
        <v>33301.13</v>
      </c>
    </row>
    <row r="14" ht="18" customHeight="1" s="132">
      <c r="A14" t="inlineStr">
        <is>
          <t>A2</t>
        </is>
      </c>
      <c r="B14" s="144" t="n">
        <v>2</v>
      </c>
      <c r="C14" s="145" t="inlineStr">
        <is>
          <t>Hesabat tarixinə BTZE-nin 25 %-i</t>
        </is>
      </c>
      <c r="D14" s="146" t="n">
        <v>2100</v>
      </c>
      <c r="E14" s="243" t="n">
        <v>0</v>
      </c>
    </row>
    <row r="15" ht="36" customHeight="1" s="132">
      <c r="A15" t="inlineStr">
        <is>
          <t>A3</t>
        </is>
      </c>
      <c r="B15" s="141" t="n">
        <v>3</v>
      </c>
      <c r="C15" s="142" t="inlineStr">
        <is>
          <t>Hesabat tarixindən əvvəlki dörd rüb ərzində qazanılmış məcmu sığorta haqlarının 2,5 %-i</t>
        </is>
      </c>
      <c r="D15" s="29" t="n">
        <v>2200</v>
      </c>
      <c r="E15" s="243" t="n">
        <v>13223.41</v>
      </c>
    </row>
    <row r="16" ht="36" customHeight="1" s="132">
      <c r="A16" t="inlineStr">
        <is>
          <t>A4</t>
        </is>
      </c>
      <c r="B16" s="141" t="n">
        <v>4</v>
      </c>
      <c r="C16" s="142" t="inlineStr">
        <is>
          <t>Hesabat tarixinə BVBZE ("1000", "1100" və "1200"-dən böyük olanı)</t>
        </is>
      </c>
      <c r="D16" s="29" t="n">
        <v>2300</v>
      </c>
      <c r="E16" s="245" t="n">
        <v>33301.13</v>
      </c>
    </row>
    <row r="18" ht="76.8" customHeight="1" s="132">
      <c r="B18" s="213" t="inlineStr">
        <is>
          <t>Qeyd:                                                                                                                                                                                                                  1. Kodu 2000 olan sətirdə 8-12 №-li Formanın yekun məbləği göstərilir.                                                                                                                                                                                                                     2. Kodu 2100 olan sətirdə 8-11 №-li Formanın yekun məbləğinin 25%-i göstərilir.                                                                                                                                                                                                              3. Kodu 2200 olan sətirdə 8-10 №-li Forma üzrə sonuncu 4 rüb ərzində qazanılmış məcmu təkrarsığorta haqlarının 5%-i göstərilir.</t>
        </is>
      </c>
    </row>
    <row r="19" ht="15.6" customHeight="1" s="132">
      <c r="B19" s="172" t="inlineStr">
        <is>
          <t>İdarə heyətinin sədri ____________________________       _____________</t>
        </is>
      </c>
    </row>
    <row r="20">
      <c r="B20" s="173" t="inlineStr">
        <is>
          <t xml:space="preserve">                                     (s.a.a)                                     (imza)</t>
        </is>
      </c>
    </row>
    <row r="21" ht="15.6" customHeight="1" s="132">
      <c r="B21" s="24" t="n"/>
      <c r="C21" s="130" t="n"/>
      <c r="D21" s="130" t="n"/>
      <c r="E21" s="130" t="n"/>
    </row>
    <row r="22" ht="15.6" customHeight="1" s="132">
      <c r="B22" s="172" t="inlineStr">
        <is>
          <t>Baş mühasib _______________________       _____________</t>
        </is>
      </c>
    </row>
    <row r="23">
      <c r="B23" s="173" t="inlineStr">
        <is>
          <t xml:space="preserve">                                    (s.a.a)                                      (imza)</t>
        </is>
      </c>
    </row>
    <row r="24" ht="18" customHeight="1" s="132">
      <c r="B24" s="130" t="n"/>
      <c r="C24" s="27" t="n"/>
      <c r="D24" s="26" t="inlineStr">
        <is>
          <t>M.Y.</t>
        </is>
      </c>
      <c r="E24" s="27" t="n"/>
    </row>
    <row r="25">
      <c r="B25" s="130" t="n"/>
      <c r="C25" s="130" t="n"/>
      <c r="D25" s="130" t="n"/>
      <c r="E25" s="130" t="n"/>
    </row>
  </sheetData>
  <mergeCells count="6">
    <mergeCell ref="B23:E23"/>
    <mergeCell ref="B18:E18"/>
    <mergeCell ref="D1:E1"/>
    <mergeCell ref="B19:E19"/>
    <mergeCell ref="B20:E20"/>
    <mergeCell ref="B22:E22"/>
  </mergeCells>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E29"/>
  <sheetViews>
    <sheetView workbookViewId="0">
      <selection activeCell="F9" sqref="F9"/>
    </sheetView>
  </sheetViews>
  <sheetFormatPr baseColWidth="8" defaultRowHeight="14.4"/>
  <cols>
    <col width="8.88671875" customWidth="1" style="132" min="1" max="1"/>
    <col width="20.77734375" customWidth="1" style="132" min="2" max="2"/>
    <col width="44.5546875" customWidth="1" style="132" min="3" max="3"/>
    <col width="20.77734375" customWidth="1" style="132" min="4" max="4"/>
    <col width="20.5546875" customWidth="1" style="132" min="5" max="5"/>
    <col width="8.88671875" customWidth="1" style="132" min="6" max="16384"/>
  </cols>
  <sheetData>
    <row r="1" ht="41.4" customHeight="1" s="132">
      <c r="B1" s="27" t="n"/>
      <c r="C1" s="27" t="n"/>
      <c r="D1" s="174" t="inlineStr">
        <is>
          <t>«Həyat sığortası və qeyri-həyat sığortası
üzrə sığorta ehtiyatlarının formalaşdırılması Qaydaları»na Əlavə № 3</t>
        </is>
      </c>
    </row>
    <row r="2" ht="18" customHeight="1" s="132">
      <c r="B2" s="26" t="inlineStr">
        <is>
          <t>Forma № 8-14</t>
        </is>
      </c>
      <c r="C2" s="27" t="n"/>
      <c r="D2" s="130" t="n"/>
      <c r="E2" s="130" t="n"/>
    </row>
    <row r="3" ht="20.4" customHeight="1" s="132">
      <c r="B3" s="27" t="n"/>
      <c r="C3" s="179" t="inlineStr">
        <is>
          <t>Katastrofik risklər üzrə ehtiyat</t>
        </is>
      </c>
      <c r="D3" s="27" t="n"/>
      <c r="E3" s="200" t="n"/>
    </row>
    <row r="4" ht="20.4" customHeight="1" s="132">
      <c r="C4" s="176" t="inlineStr">
        <is>
          <t>Ateshgah</t>
        </is>
      </c>
      <c r="D4" s="170" t="n"/>
      <c r="E4" s="170" t="n"/>
    </row>
    <row r="5" ht="17.4" customHeight="1" s="132">
      <c r="C5" s="177" t="inlineStr">
        <is>
          <t xml:space="preserve">    (sığortaçının (təkrarsığortaçının)  adı)</t>
        </is>
      </c>
      <c r="D5" s="101" t="n"/>
      <c r="E5" s="101" t="n"/>
    </row>
    <row r="6" ht="15.6" customHeight="1" s="132">
      <c r="C6" s="171" t="n"/>
      <c r="D6" s="12" t="inlineStr">
        <is>
          <t>01.01.2026</t>
        </is>
      </c>
      <c r="E6" s="11" t="inlineStr">
        <is>
          <t xml:space="preserve"> -cı il  tarixə</t>
        </is>
      </c>
    </row>
    <row r="7" ht="17.4" customHeight="1" s="132">
      <c r="B7" s="11" t="n"/>
      <c r="E7" s="11" t="n"/>
    </row>
    <row r="8" ht="18" customHeight="1" s="132">
      <c r="B8" s="14" t="inlineStr">
        <is>
          <t>Sığortanın sinifi ____________________________</t>
        </is>
      </c>
      <c r="C8" s="219" t="inlineStr">
        <is>
          <t>(21)UmumiMulkiMesuliyy</t>
        </is>
      </c>
      <c r="D8" s="13" t="n"/>
      <c r="E8" s="13" t="n"/>
    </row>
    <row r="9" ht="18.6" customHeight="1" s="132" thickBot="1">
      <c r="B9" s="71" t="n"/>
      <c r="C9" s="71" t="n"/>
      <c r="D9" s="71" t="n"/>
      <c r="E9" s="71" t="n"/>
    </row>
    <row r="10" ht="15.6" customHeight="1" s="132" thickBot="1">
      <c r="B10" s="151" t="inlineStr">
        <is>
          <t>Sıra sayı</t>
        </is>
      </c>
      <c r="C10" s="152" t="inlineStr">
        <is>
          <t>Göstəricilərin adı</t>
        </is>
      </c>
      <c r="D10" s="152" t="inlineStr">
        <is>
          <t>Sətrin kodu</t>
        </is>
      </c>
      <c r="E10" s="152" t="inlineStr">
        <is>
          <t>Məbləğ</t>
        </is>
      </c>
    </row>
    <row r="11" ht="15.6" customHeight="1" s="132" thickBot="1">
      <c r="B11" s="153" t="inlineStr">
        <is>
          <t>I</t>
        </is>
      </c>
      <c r="C11" s="154" t="inlineStr">
        <is>
          <t>II</t>
        </is>
      </c>
      <c r="D11" s="154" t="inlineStr">
        <is>
          <t>III</t>
        </is>
      </c>
      <c r="E11" s="154" t="inlineStr">
        <is>
          <t>IV</t>
        </is>
      </c>
    </row>
    <row r="12" ht="15.6" customHeight="1" s="132" thickBot="1">
      <c r="A12" t="inlineStr">
        <is>
          <t>A1</t>
        </is>
      </c>
      <c r="B12" s="155" t="n">
        <v>1</v>
      </c>
      <c r="C12" s="156" t="inlineStr">
        <is>
          <t>Hesabat tarixindən əvvəlki rübün sonuna KRE</t>
        </is>
      </c>
      <c r="D12" s="157" t="n">
        <v>1000</v>
      </c>
      <c r="E12" s="158" t="n">
        <v>0</v>
      </c>
    </row>
    <row r="13" ht="45.6" customHeight="1" s="132" thickBot="1">
      <c r="A13" t="inlineStr">
        <is>
          <t>A2</t>
        </is>
      </c>
      <c r="B13" s="159" t="n">
        <v>2</v>
      </c>
      <c r="C13" s="160" t="inlineStr">
        <is>
          <t>Hesabat tarixinə qazanılmış sığorta (təkrarsığorta) haqqının katastrofik risk təminatına düşən hissəsi</t>
        </is>
      </c>
      <c r="D13" s="161" t="n">
        <v>1100</v>
      </c>
      <c r="E13" s="162" t="n">
        <v>0</v>
      </c>
    </row>
    <row r="14" ht="45.6" customHeight="1" s="132" thickBot="1">
      <c r="A14" t="inlineStr">
        <is>
          <t>A3</t>
        </is>
      </c>
      <c r="B14" s="159" t="n">
        <v>3</v>
      </c>
      <c r="C14" s="160" t="inlineStr">
        <is>
          <t>Hesabat tarixinə qazanılmış təkrarsığorta haqqının katastrofik risk təminatına düşən hissəsi</t>
        </is>
      </c>
      <c r="D14" s="163" t="n">
        <v>1200</v>
      </c>
      <c r="E14" s="164" t="n">
        <v>0</v>
      </c>
    </row>
    <row r="15" ht="30.6" customHeight="1" s="132" thickBot="1">
      <c r="A15" t="inlineStr">
        <is>
          <t>A4</t>
        </is>
      </c>
      <c r="B15" s="159" t="n">
        <v>4</v>
      </c>
      <c r="C15" s="160" t="inlineStr">
        <is>
          <t>Hesabat tarixinə KRE ("1000" + 12% x max("1100" - "1200"; 0))</t>
        </is>
      </c>
      <c r="D15" s="163" t="n">
        <v>1300</v>
      </c>
      <c r="E15" s="165" t="n">
        <v>0</v>
      </c>
    </row>
    <row r="16" ht="90.59999999999999" customHeight="1" s="132" thickBot="1">
      <c r="B16" s="159" t="n">
        <v>5</v>
      </c>
      <c r="C16" s="160" t="inlineStr">
        <is>
          <t>Hesabat tarixindən əvvəlki rüb üzrə katastrofik risklərə görə verilən sığorta ödənişlərinin (sığorta ödənişləri verilənə qədər isə xalis BTZE-nin) məbləği (sığorta ödənişlərində təkrarsığortaçının payı və sığorta müqaviləsi üzrə azadolma məbləğləri çıxılmaqla)</t>
        </is>
      </c>
      <c r="D16" s="163" t="n">
        <v>1350</v>
      </c>
      <c r="E16" s="165" t="n">
        <v>0</v>
      </c>
    </row>
    <row r="17" ht="45.6" customHeight="1" s="132" thickBot="1">
      <c r="B17" s="159" t="n">
        <v>6</v>
      </c>
      <c r="C17" s="160" t="inlineStr">
        <is>
          <t>(N-1) təqvim ilinin sonuna katastrofik risk təminatı üzrə hesablanmış xalis baza sığorta haqqı</t>
        </is>
      </c>
      <c r="D17" s="163" t="n">
        <v>1400</v>
      </c>
      <c r="E17" s="165" t="n">
        <v>0</v>
      </c>
    </row>
    <row r="18" ht="45.6" customHeight="1" s="132" thickBot="1">
      <c r="B18" s="159" t="n">
        <v>7</v>
      </c>
      <c r="C18" s="160" t="inlineStr">
        <is>
          <t>(N-2) təqvim ilinin sonuna katastrofik risk təminatı üzrə hesablanmış xalis baza sığorta haqqı</t>
        </is>
      </c>
      <c r="D18" s="163" t="n">
        <v>1500</v>
      </c>
      <c r="E18" s="165" t="n">
        <v>0</v>
      </c>
    </row>
    <row r="19" ht="45.6" customHeight="1" s="132" thickBot="1">
      <c r="B19" s="159" t="n">
        <v>8</v>
      </c>
      <c r="C19" s="160" t="inlineStr">
        <is>
          <t>(N-3) təqvim ilinin sonuna katastrofik risk təminatı üzrə hesablanmış xalis baza sığorta haqqı</t>
        </is>
      </c>
      <c r="D19" s="163" t="n">
        <v>1600</v>
      </c>
      <c r="E19" s="165" t="n">
        <v>0</v>
      </c>
    </row>
    <row r="20" ht="45.6" customHeight="1" s="132" thickBot="1">
      <c r="B20" s="159" t="n">
        <v>9</v>
      </c>
      <c r="C20" s="160" t="inlineStr">
        <is>
          <t>(N-4) təqvim ilinin sonuna katastrofik risk təminatı üzrə hesablanmış xalis baza sığorta haqqı</t>
        </is>
      </c>
      <c r="D20" s="163" t="n">
        <v>1700</v>
      </c>
      <c r="E20" s="165" t="n">
        <v>0</v>
      </c>
    </row>
    <row r="21" ht="45.6" customHeight="1" s="132" thickBot="1">
      <c r="B21" s="159" t="n">
        <v>10</v>
      </c>
      <c r="C21" s="160" t="inlineStr">
        <is>
          <t>(N-5) təqvim ilinin sonuna katastrofik risk təminatı üzrə hesablanmış xalis baza sığorta haqqı</t>
        </is>
      </c>
      <c r="D21" s="163" t="n">
        <v>1800</v>
      </c>
      <c r="E21" s="165" t="n">
        <v>0</v>
      </c>
    </row>
    <row r="22" ht="45.6" customHeight="1" s="132" thickBot="1">
      <c r="B22" s="159" t="n">
        <v>11</v>
      </c>
      <c r="C22" s="160" t="inlineStr">
        <is>
          <t>Hesabat tarixinə yekun KRE (min(max("1300"-"1350";0); 150% x max("1400"; "1500";"1600";"1700";"1800"))</t>
        </is>
      </c>
      <c r="D22" s="163" t="n">
        <v>1900</v>
      </c>
      <c r="E22" s="165" t="n">
        <v>0</v>
      </c>
    </row>
    <row r="23">
      <c r="B23" s="166" t="n"/>
      <c r="C23" s="166" t="n"/>
      <c r="D23" s="166" t="n"/>
      <c r="E23" s="166" t="n"/>
    </row>
    <row r="24" ht="15" customHeight="1" s="132">
      <c r="B24" s="218" t="n"/>
    </row>
    <row r="25" ht="15" customHeight="1" s="132">
      <c r="B25" s="218" t="inlineStr">
        <is>
          <t>Qeyd:</t>
        </is>
      </c>
    </row>
    <row r="26" ht="15" customHeight="1" s="132">
      <c r="B26" s="215" t="inlineStr">
        <is>
          <t>1. Kodu 1100 olan sətirdə bu Qaydaya 3 nömrəli Əlavədəki 8-7 №-li Formanın X sütununun hesabat tarixi ilə qutaran rübə uyğun məbləği göstərilir.</t>
        </is>
      </c>
    </row>
    <row r="27" ht="15" customHeight="1" s="132">
      <c r="B27" s="215" t="inlineStr">
        <is>
          <t>2. Kodu 1200 olan sətirdə bu Qaydaya 3 nömrəli Əlavədəki 8-10 №-li Formanın X sütununun hesabat tarixi ilə qutaran rübə uyğun məbləği göstərilir.</t>
        </is>
      </c>
    </row>
    <row r="28" ht="15" customHeight="1" s="132">
      <c r="B28" s="216" t="inlineStr">
        <is>
          <t>3. Müvafiq təqvim ilinin sonuna katastrofik risk təminatı üzrə hesablanmış xalis baza sığorta (təkrarsığorta) haqqı “Sığorta (təkrarsığorta) müqavilələrinin uçotu jurnalı”na uyğun olaraq sığorta haqqının katastrofik risk təminatına düşən hissəsi (komisyon muzd çıxılmaqla) ilə təkrarsığorta haqqının katastrofik risk təminatına düşən hissəsi (komisyon muzd çıxılmaqla) arasındakı fərqə bərabərdir.</t>
        </is>
      </c>
    </row>
    <row r="29" ht="15" customHeight="1" s="132">
      <c r="B29" s="217" t="n"/>
    </row>
  </sheetData>
  <mergeCells count="7">
    <mergeCell ref="B26:E26"/>
    <mergeCell ref="B27:E27"/>
    <mergeCell ref="D1:E1"/>
    <mergeCell ref="B29:E29"/>
    <mergeCell ref="B25:E25"/>
    <mergeCell ref="B24:E24"/>
    <mergeCell ref="B28:E28"/>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Samir Əlizadə</dc:creator>
  <dcterms:created xsi:type="dcterms:W3CDTF">2025-12-25T10:37:45Z</dcterms:created>
  <dcterms:modified xsi:type="dcterms:W3CDTF">2026-01-09T11:27:33Z</dcterms:modified>
  <cp:lastModifiedBy>Samir Əlizadə</cp:lastModifiedBy>
</cp:coreProperties>
</file>